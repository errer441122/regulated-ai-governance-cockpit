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c7e33d02e4a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9b375f874834fa1"/>
    <x:sheet xmlns:r="http://schemas.openxmlformats.org/officeDocument/2006/relationships" name="Raw Data" sheetId="2" r:id="R2c2d5d16697349c3"/>
    <x:sheet xmlns:r="http://schemas.openxmlformats.org/officeDocument/2006/relationships" name="Pivot Summary" sheetId="3" r:id="R7f0bdb78aff74e82"/>
    <x:sheet xmlns:r="http://schemas.openxmlformats.org/officeDocument/2006/relationships" name="At-Risk Segments" sheetId="4" r:id="R5dbc8b2ce6a9447e"/>
    <x:sheet xmlns:r="http://schemas.openxmlformats.org/officeDocument/2006/relationships" name="Recommendations" sheetId="5" r:id="R444a29e7d68f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1"/>
      <x:color rgb="8C0000"/>
      <x:name val="Carlito"/>
    </x:font>
    <x:font>
      <x:b/>
      <x:sz val="11"/>
      <x:color rgb="8C0000"/>
      <x:name val="Carlito"/>
    </x:font>
    <x:font>
      <x:b/>
      <x:sz val="18"/>
      <x:color rgb="8C0000"/>
      <x:name val="Carlito"/>
    </x:font>
    <x:font>
      <x:sz val="11"/>
      <x:color rgb="475467"/>
      <x:name val="Carlito"/>
    </x:font>
    <x:font>
      <x:b/>
      <x:sz val="11"/>
      <x:name val="Carlito"/>
    </x:font>
    <x:font>
      <x:b/>
      <x:sz val="1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8C0000"/>
      </x:patternFill>
    </x:fill>
    <x:fill>
      <x:patternFill patternType="solid">
        <x:fgColor rgb="FFF7E6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9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4cc8f4a8c4dd4" /><Relationship Type="http://schemas.openxmlformats.org/officeDocument/2006/relationships/theme" Target="/xl/theme/theme1.xml" Id="Rfeca1cdc68274bc0" /><Relationship Type="http://schemas.openxmlformats.org/officeDocument/2006/relationships/sharedStrings" Target="/xl/sharedStrings.xml" Id="Ra69403946d8d4e13" /><Relationship Type="http://schemas.openxmlformats.org/officeDocument/2006/relationships/worksheet" Target="/xl/worksheets/sheet1.xml" Id="R89b375f874834fa1" /><Relationship Type="http://schemas.openxmlformats.org/officeDocument/2006/relationships/worksheet" Target="/xl/worksheets/sheet2.xml" Id="R2c2d5d16697349c3" /><Relationship Type="http://schemas.openxmlformats.org/officeDocument/2006/relationships/worksheet" Target="/xl/worksheets/sheet3.xml" Id="R7f0bdb78aff74e82" /><Relationship Type="http://schemas.openxmlformats.org/officeDocument/2006/relationships/worksheet" Target="/xl/worksheets/sheet4.xml" Id="R5dbc8b2ce6a9447e" /><Relationship Type="http://schemas.openxmlformats.org/officeDocument/2006/relationships/worksheet" Target="/xl/worksheets/sheet5.xml" Id="R444a29e7d68f45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369bb6b1914259" /><Relationship Type="http://schemas.openxmlformats.org/officeDocument/2006/relationships/chart" Target="/xl/drawings/charts/chart2.xml" Id="Rd33606871fd743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CSAT by Journey Stage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CSAT</c:v>
          </c:tx>
          <c:cat>
            <c:strRef>
              <c:f>'Dashboard'!$P$2:$P$10</c:f>
              <c:strCache>
                <c:ptCount val="0"/>
              </c:strCache>
            </c:strRef>
          </c:cat>
          <c:val>
            <c:numRef>
              <c:f>'Dashboard'!$Q$2:$Q$10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Feedback Volume by Journey Stage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Feedback Volume</c:v>
          </c:tx>
          <c:cat>
            <c:strRef>
              <c:f>'Dashboard'!$P$14:$P$22</c:f>
              <c:strCache>
                <c:ptCount val="0"/>
              </c:strCache>
            </c:strRef>
          </c:cat>
          <c:val>
            <c:numRef>
              <c:f>'Dashboard'!$Q$14:$Q$22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8</xdr:row>
      <xdr:rowOff>0</xdr:rowOff>
    </xdr:from>
    <xdr:ext cx="49530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369bb6b1914259"/>
        </a:graphicData>
      </a:graphic>
    </xdr:graphicFrame>
    <xdr:clientData/>
  </xdr:oneCellAnchor>
  <xdr:oneCellAnchor>
    <xdr:from>
      <xdr:col>9</xdr:col>
      <xdr:colOff>0</xdr:colOff>
      <xdr:row>20</xdr:row>
      <xdr:rowOff>0</xdr:rowOff>
    </xdr:from>
    <xdr:ext cx="4953000" cy="2476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3606871fd743c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e1fbf4ed6b4475" /></Relationships>
</file>

<file path=xl/worksheets/sheet1.xml><?xml version="1.0" encoding="utf-8"?>
<x:worksheet xmlns:x="http://schemas.openxmlformats.org/spreadsheetml/2006/main">
  <x:sheetFormatPr defaultRowHeight="15"/>
  <x:cols>
    <x:col min="1" max="1" width="30.959999084472656" hidden="0" customWidth="1"/>
    <x:col min="2" max="2" width="15.479999542236328" hidden="0" customWidth="1"/>
    <x:col min="3" max="3" width="10.899999618530273" hidden="0" customWidth="1"/>
    <x:col min="4" max="4" width="10.899999618530273" hidden="0" customWidth="1"/>
    <x:col min="5" max="5" width="16.81999969482422" hidden="0" customWidth="1"/>
    <x:col min="6" max="6" width="16.81999969482422" hidden="0" customWidth="1"/>
    <x:col min="7" max="7" width="14.399999618530273" hidden="0" customWidth="1"/>
    <x:col min="8" max="8" width="15.210000038146973" hidden="0" customWidth="1"/>
    <x:col min="9" max="9" width="2.559999942779541" hidden="0" customWidth="1"/>
    <x:col min="10" max="10" width="20.860000610351562" hidden="0" customWidth="1"/>
    <x:col min="11" max="11" width="10.09000015258789" hidden="0" customWidth="1"/>
    <x:col min="12" max="12" width="10.09000015258789" hidden="0" customWidth="1"/>
    <x:col min="13" max="13" width="14.130000114440918" hidden="0" customWidth="1"/>
    <x:col min="14" max="14" width="14.130000114440918" hidden="0" customWidth="1"/>
  </x:cols>
  <x:sheetData>
    <x:row r="1" ht="25.5" customHeight="1">
      <x:c r="A1" s="12" t="str">
        <x:v>CX Dashboard Prototype</x:v>
      </x:c>
      <x:c r="P1" t="str">
        <x:v>Stage</x:v>
      </x:c>
      <x:c r="Q1" t="str">
        <x:v>Avg CSAT</x:v>
      </x:c>
    </x:row>
    <x:row r="2" ht="21" customHeight="1">
      <x:c r="A2" s="13" t="str">
        <x:v>Simulated CX dataset: satisfaction reporting, segmentation, diagnostics and action tracking.</x:v>
      </x:c>
      <x:c r="P2" t="str">
        <x:v>Onboarding</x:v>
      </x:c>
      <x:c r="Q2" t="n">
        <x:v>3.2</x:v>
      </x:c>
    </x:row>
    <x:row r="3">
      <x:c r="P3" t="str">
        <x:v>Service</x:v>
      </x:c>
      <x:c r="Q3" t="n">
        <x:v>2.9</x:v>
      </x:c>
    </x:row>
    <x:row r="4">
      <x:c r="A4" s="3" t="str">
        <x:v>Avg CSAT</x:v>
      </x:c>
      <x:c r="B4" s="3" t="str">
        <x:v>Avg NPS</x:v>
      </x:c>
      <x:c r="D4" s="3" t="str">
        <x:v>Resp Hrs</x:v>
      </x:c>
      <x:c r="E4" s="3" t="str">
        <x:v>Repeat %</x:v>
      </x:c>
      <x:c r="G4" s="3" t="str">
        <x:v>High-Risk</x:v>
      </x:c>
      <x:c r="H4" s="3" t="str">
        <x:v>Feedback Volume</x:v>
      </x:c>
      <x:c r="P4" t="str">
        <x:v>Loyalty</x:v>
      </x:c>
      <x:c r="Q4" t="n">
        <x:v>4.1</x:v>
      </x:c>
    </x:row>
    <x:row r="5">
      <x:c r="A5" s="16" t="n">
        <x:f>ROUND(AVERAGE('Raw Data'!G2:G29),1)</x:f>
        <x:v>3.4</x:v>
      </x:c>
      <x:c r="B5" s="16" t="n">
        <x:f>ROUND(AVERAGE('Raw Data'!H2:H29),0)</x:f>
        <x:v>17</x:v>
      </x:c>
      <x:c r="D5" s="16" t="n">
        <x:f>ROUND(AVERAGE('Raw Data'!I2:I29),0)</x:f>
        <x:v>40</x:v>
      </x:c>
      <x:c r="E5" s="16" t="str">
        <x:f>ROUND(AVERAGE('Raw Data'!J2:J29),0)&amp;"%"</x:f>
        <x:v>57%</x:v>
      </x:c>
      <x:c r="G5" s="16" t="n">
        <x:f>COUNTIF('Raw Data'!L2:L29,"High")</x:f>
        <x:v>11</x:v>
      </x:c>
      <x:c r="H5" s="16" t="n">
        <x:f>SUM('Raw Data'!K2:K29)</x:f>
        <x:v>990</x:v>
      </x:c>
      <x:c r="P5" t="str">
        <x:v>Digital</x:v>
      </x:c>
      <x:c r="Q5" t="n">
        <x:v>3.3</x:v>
      </x:c>
    </x:row>
    <x:row r="6">
      <x:c r="P6" t="str">
        <x:v>Premium</x:v>
      </x:c>
      <x:c r="Q6" t="n">
        <x:v>3.8</x:v>
      </x:c>
    </x:row>
    <x:row r="7">
      <x:c r="P7" t="str">
        <x:v>Brand</x:v>
      </x:c>
      <x:c r="Q7" t="n">
        <x:v>3.8</x:v>
      </x:c>
    </x:row>
    <x:row r="8">
      <x:c r="A8" s="4" t="str">
        <x:v>Journey Stage</x:v>
      </x:c>
      <x:c r="B8" s="4" t="str">
        <x:v>Records</x:v>
      </x:c>
      <x:c r="C8" s="4" t="str">
        <x:v>Avg CSAT</x:v>
      </x:c>
      <x:c r="D8" s="4" t="str">
        <x:v>Avg NPS</x:v>
      </x:c>
      <x:c r="E8" s="4" t="str">
        <x:v>Response Hrs</x:v>
      </x:c>
      <x:c r="F8" s="4" t="str">
        <x:v>Repeat Intent %</x:v>
      </x:c>
      <x:c r="G8" s="4" t="str">
        <x:v>Feedback Volume</x:v>
      </x:c>
      <x:c r="H8" s="4" t="str">
        <x:v>High-Risk</x:v>
      </x:c>
      <x:c r="P8" t="str">
        <x:v>Purchase</x:v>
      </x:c>
      <x:c r="Q8" t="n">
        <x:v>2.8</x:v>
      </x:c>
    </x:row>
    <x:row r="9">
      <x:c r="A9" t="str">
        <x:v>Owner Onboarding</x:v>
      </x:c>
      <x:c r="B9" t="n">
        <x:v>4</x:v>
      </x:c>
      <x:c r="C9" t="n">
        <x:v>3.2</x:v>
      </x:c>
      <x:c r="D9" t="n">
        <x:v>7.3</x:v>
      </x:c>
      <x:c r="E9" t="n">
        <x:v>35</x:v>
      </x:c>
      <x:c r="F9" t="n">
        <x:v>51.3</x:v>
      </x:c>
      <x:c r="G9" t="n">
        <x:v>138</x:v>
      </x:c>
      <x:c r="H9" t="n">
        <x:v>2</x:v>
      </x:c>
      <x:c r="P9" t="str">
        <x:v>Retail</x:v>
      </x:c>
      <x:c r="Q9" t="n">
        <x:v>3.8</x:v>
      </x:c>
    </x:row>
    <x:row r="10">
      <x:c r="A10" t="str">
        <x:v>Service</x:v>
      </x:c>
      <x:c r="B10" t="n">
        <x:v>4</x:v>
      </x:c>
      <x:c r="C10" t="n">
        <x:v>2.9</x:v>
      </x:c>
      <x:c r="D10" t="n">
        <x:v>-6</x:v>
      </x:c>
      <x:c r="E10" t="n">
        <x:v>70</x:v>
      </x:c>
      <x:c r="F10" t="n">
        <x:v>38.8</x:v>
      </x:c>
      <x:c r="G10" t="n">
        <x:v>195</x:v>
      </x:c>
      <x:c r="H10" t="n">
        <x:v>4</x:v>
      </x:c>
      <x:c r="P10" t="str">
        <x:v>Retention</x:v>
      </x:c>
      <x:c r="Q10" t="n">
        <x:v>3.4</x:v>
      </x:c>
    </x:row>
    <x:row r="11">
      <x:c r="A11" t="str">
        <x:v>Loyalty</x:v>
      </x:c>
      <x:c r="B11" t="n">
        <x:v>4</x:v>
      </x:c>
      <x:c r="C11" t="n">
        <x:v>4.1</x:v>
      </x:c>
      <x:c r="D11" t="n">
        <x:v>49</x:v>
      </x:c>
      <x:c r="E11" t="n">
        <x:v>19.5</x:v>
      </x:c>
      <x:c r="F11" t="n">
        <x:v>78.8</x:v>
      </x:c>
      <x:c r="G11" t="n">
        <x:v>117</x:v>
      </x:c>
      <x:c r="H11" t="n">
        <x:v>0</x:v>
      </x:c>
    </x:row>
    <x:row r="12">
      <x:c r="A12" t="str">
        <x:v>Digital</x:v>
      </x:c>
      <x:c r="B12" t="n">
        <x:v>4</x:v>
      </x:c>
      <x:c r="C12" t="n">
        <x:v>3.3</x:v>
      </x:c>
      <x:c r="D12" t="n">
        <x:v>11.3</x:v>
      </x:c>
      <x:c r="E12" t="n">
        <x:v>39.5</x:v>
      </x:c>
      <x:c r="F12" t="n">
        <x:v>54.8</x:v>
      </x:c>
      <x:c r="G12" t="n">
        <x:v>170</x:v>
      </x:c>
      <x:c r="H12" t="n">
        <x:v>1</x:v>
      </x:c>
    </x:row>
    <x:row r="13">
      <x:c r="A13" t="str">
        <x:v>Premium Ownership</x:v>
      </x:c>
      <x:c r="B13" t="n">
        <x:v>4</x:v>
      </x:c>
      <x:c r="C13" t="n">
        <x:v>3.8</x:v>
      </x:c>
      <x:c r="D13" t="n">
        <x:v>34.5</x:v>
      </x:c>
      <x:c r="E13" t="n">
        <x:v>28.8</x:v>
      </x:c>
      <x:c r="F13" t="n">
        <x:v>70.5</x:v>
      </x:c>
      <x:c r="G13" t="n">
        <x:v>94</x:v>
      </x:c>
      <x:c r="H13" t="n">
        <x:v>0</x:v>
      </x:c>
      <x:c r="P13" t="str">
        <x:v>Stage</x:v>
      </x:c>
      <x:c r="Q13" t="str">
        <x:v>Feedback Volume</x:v>
      </x:c>
    </x:row>
    <x:row r="14">
      <x:c r="A14" t="str">
        <x:v>Brand Experience</x:v>
      </x:c>
      <x:c r="B14" t="n">
        <x:v>2</x:v>
      </x:c>
      <x:c r="C14" t="n">
        <x:v>3.8</x:v>
      </x:c>
      <x:c r="D14" t="n">
        <x:v>31.5</x:v>
      </x:c>
      <x:c r="E14" t="n">
        <x:v>22</x:v>
      </x:c>
      <x:c r="F14" t="n">
        <x:v>67.5</x:v>
      </x:c>
      <x:c r="G14" t="n">
        <x:v>53</x:v>
      </x:c>
      <x:c r="H14" t="n">
        <x:v>0</x:v>
      </x:c>
      <x:c r="P14" t="str">
        <x:v>Onboarding</x:v>
      </x:c>
      <x:c r="Q14" t="n">
        <x:v>138</x:v>
      </x:c>
    </x:row>
    <x:row r="15">
      <x:c r="A15" t="str">
        <x:v>Purchase Journey</x:v>
      </x:c>
      <x:c r="B15" t="n">
        <x:v>3</x:v>
      </x:c>
      <x:c r="C15" t="n">
        <x:v>2.8</x:v>
      </x:c>
      <x:c r="D15" t="n">
        <x:v>-13.3</x:v>
      </x:c>
      <x:c r="E15" t="n">
        <x:v>64</x:v>
      </x:c>
      <x:c r="F15" t="n">
        <x:v>38.3</x:v>
      </x:c>
      <x:c r="G15" t="n">
        <x:v>135</x:v>
      </x:c>
      <x:c r="H15" t="n">
        <x:v>3</x:v>
      </x:c>
      <x:c r="P15" t="str">
        <x:v>Service</x:v>
      </x:c>
      <x:c r="Q15" t="n">
        <x:v>195</x:v>
      </x:c>
    </x:row>
    <x:row r="16">
      <x:c r="A16" t="str">
        <x:v>Retail</x:v>
      </x:c>
      <x:c r="B16" t="n">
        <x:v>1</x:v>
      </x:c>
      <x:c r="C16" t="n">
        <x:v>3.8</x:v>
      </x:c>
      <x:c r="D16" t="n">
        <x:v>33</x:v>
      </x:c>
      <x:c r="E16" t="n">
        <x:v>26</x:v>
      </x:c>
      <x:c r="F16" t="n">
        <x:v>67</x:v>
      </x:c>
      <x:c r="G16" t="n">
        <x:v>23</x:v>
      </x:c>
      <x:c r="H16" t="n">
        <x:v>0</x:v>
      </x:c>
      <x:c r="P16" t="str">
        <x:v>Loyalty</x:v>
      </x:c>
      <x:c r="Q16" t="n">
        <x:v>117</x:v>
      </x:c>
    </x:row>
    <x:row r="17">
      <x:c r="A17" t="str">
        <x:v>Retention</x:v>
      </x:c>
      <x:c r="B17" t="n">
        <x:v>2</x:v>
      </x:c>
      <x:c r="C17" t="n">
        <x:v>3.4</x:v>
      </x:c>
      <x:c r="D17" t="n">
        <x:v>13.5</x:v>
      </x:c>
      <x:c r="E17" t="n">
        <x:v>50</x:v>
      </x:c>
      <x:c r="F17" t="n">
        <x:v>54.5</x:v>
      </x:c>
      <x:c r="G17" t="n">
        <x:v>65</x:v>
      </x:c>
      <x:c r="H17" t="n">
        <x:v>1</x:v>
      </x:c>
      <x:c r="P17" t="str">
        <x:v>Digital</x:v>
      </x:c>
      <x:c r="Q17" t="n">
        <x:v>170</x:v>
      </x:c>
    </x:row>
    <x:row r="18">
      <x:c r="P18" t="str">
        <x:v>Premium</x:v>
      </x:c>
      <x:c r="Q18" t="n">
        <x:v>94</x:v>
      </x:c>
    </x:row>
    <x:row r="19">
      <x:c r="P19" t="str">
        <x:v>Brand</x:v>
      </x:c>
      <x:c r="Q19" t="n">
        <x:v>53</x:v>
      </x:c>
    </x:row>
    <x:row r="20">
      <x:c r="A20" s="4" t="str">
        <x:v>At-Risk Segment</x:v>
      </x:c>
      <x:c r="B20" s="4" t="str">
        <x:v>Customer Type</x:v>
      </x:c>
      <x:c r="C20" s="4" t="str">
        <x:v>Journey Stage</x:v>
      </x:c>
      <x:c r="D20" s="4" t="str">
        <x:v>Complaint Category</x:v>
      </x:c>
      <x:c r="E20" s="4" t="str">
        <x:v>Recommended Action</x:v>
      </x:c>
      <x:c r="P20" t="str">
        <x:v>Purchase</x:v>
      </x:c>
      <x:c r="Q20" t="n">
        <x:v>135</x:v>
      </x:c>
    </x:row>
    <x:row r="21">
      <x:c r="A21" s="5" t="str">
        <x:v>Post-delivery detractors</x:v>
      </x:c>
      <x:c r="B21" s="5" t="str">
        <x:v>At-risk customers</x:v>
      </x:c>
      <x:c r="C21" s="5" t="str">
        <x:v>Purchase Journey</x:v>
      </x:c>
      <x:c r="D21" s="5" t="str">
        <x:v>Low satisfaction</x:v>
      </x:c>
      <x:c r="E21" s="5" t="str">
        <x:v>Start detractor recovery workflow</x:v>
      </x:c>
      <x:c r="P21" t="str">
        <x:v>Retail</x:v>
      </x:c>
      <x:c r="Q21" t="n">
        <x:v>23</x:v>
      </x:c>
    </x:row>
    <x:row r="22">
      <x:c r="A22" s="5" t="str">
        <x:v>Post-delivery detractors</x:v>
      </x:c>
      <x:c r="B22" s="5" t="str">
        <x:v>At-risk customers</x:v>
      </x:c>
      <x:c r="C22" s="5" t="str">
        <x:v>Owner Onboarding</x:v>
      </x:c>
      <x:c r="D22" s="5" t="str">
        <x:v>Low satisfaction</x:v>
      </x:c>
      <x:c r="E22" s="5" t="str">
        <x:v>Assign recovery owner and callback SLA</x:v>
      </x:c>
      <x:c r="P22" t="str">
        <x:v>Retention</x:v>
      </x:c>
      <x:c r="Q22" t="n">
        <x:v>65</x:v>
      </x:c>
    </x:row>
    <x:row r="23">
      <x:c r="A23" s="5" t="str">
        <x:v>Warranty claim journey</x:v>
      </x:c>
      <x:c r="B23" s="5" t="str">
        <x:v>At-risk customers</x:v>
      </x:c>
      <x:c r="C23" s="5" t="str">
        <x:v>Service</x:v>
      </x:c>
      <x:c r="D23" s="5" t="str">
        <x:v>Resolution time</x:v>
      </x:c>
      <x:c r="E23" s="5" t="str">
        <x:v>Map warranty status and escalation owner</x:v>
      </x:c>
    </x:row>
    <x:row r="24">
      <x:c r="A24" s="5" t="str">
        <x:v>Lapsed service customers</x:v>
      </x:c>
      <x:c r="B24" s="5" t="str">
        <x:v>Retention</x:v>
      </x:c>
      <x:c r="C24" s="5" t="str">
        <x:v>Retention</x:v>
      </x:c>
      <x:c r="D24" s="5" t="str">
        <x:v>Low engagement</x:v>
      </x:c>
      <x:c r="E24" s="5" t="str">
        <x:v>Create retention segment and reactivation test</x:v>
      </x:c>
    </x:row>
    <x:row r="25">
      <x:c r="A25" s="5" t="str">
        <x:v>Dealer follow-up experience</x:v>
      </x:c>
      <x:c r="B25" s="5" t="str">
        <x:v>Prospects</x:v>
      </x:c>
      <x:c r="C25" s="5" t="str">
        <x:v>Purchase Journey</x:v>
      </x:c>
      <x:c r="D25" s="5" t="str">
        <x:v>Response time</x:v>
      </x:c>
      <x:c r="E25" s="5" t="str">
        <x:v>Assign dealer follow-up response target</x:v>
      </x:c>
    </x:row>
    <x:row r="26">
      <x:c r="A26" s="5" t="str">
        <x:v>Service appointment journey</x:v>
      </x:c>
      <x:c r="B26" s="5" t="str">
        <x:v>Service customers</x:v>
      </x:c>
      <x:c r="C26" s="5" t="str">
        <x:v>Service</x:v>
      </x:c>
      <x:c r="D26" s="5" t="str">
        <x:v>Booking friction</x:v>
      </x:c>
      <x:c r="E26" s="5" t="str">
        <x:v>Review booking reminders and appointment slots</x:v>
      </x:c>
    </x:row>
    <x:row r="27">
      <x:c r="A27" s="5" t="str">
        <x:v>Lapsed service customers</x:v>
      </x:c>
      <x:c r="B27" s="5" t="str">
        <x:v>Retention</x:v>
      </x:c>
      <x:c r="C27" s="5" t="str">
        <x:v>Service</x:v>
      </x:c>
      <x:c r="D27" s="5" t="str">
        <x:v>Price perception</x:v>
      </x:c>
      <x:c r="E27" s="5" t="str">
        <x:v>Profile service lapse reasons by segment</x:v>
      </x:c>
    </x:row>
    <x:row r="28">
      <x:c r="A28" s="5" t="str">
        <x:v>App and connected services users</x:v>
      </x:c>
      <x:c r="B28" s="5" t="str">
        <x:v>Digital users</x:v>
      </x:c>
      <x:c r="C28" s="5" t="str">
        <x:v>Digital</x:v>
      </x:c>
      <x:c r="D28" s="5" t="str">
        <x:v>App usability</x:v>
      </x:c>
      <x:c r="E28" s="5" t="str">
        <x:v>Tag app feedback by feature and severity</x:v>
      </x:c>
    </x:row>
  </x:sheetData>
  <x:pageMargins left="0.7" right="0.7" top="0.75" bottom="0.75" header="0.3" footer="0.3"/>
  <x:drawing xmlns:r="http://schemas.openxmlformats.org/officeDocument/2006/relationships" r:id="R78e1fbf4ed6b4475"/>
</x:worksheet>
</file>

<file path=xl/worksheets/sheet2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24.899999618530273" hidden="0" customWidth="1"/>
    <x:col min="3" max="3" width="17.5" hidden="0" customWidth="1"/>
    <x:col min="4" max="4" width="16.81999969482422" hidden="0" customWidth="1"/>
    <x:col min="5" max="5" width="15.479999542236328" hidden="0" customWidth="1"/>
    <x:col min="6" max="6" width="19.520000457763672" hidden="0" customWidth="1"/>
    <x:col min="7" max="7" width="9.020000457763672" hidden="0" customWidth="1"/>
    <x:col min="8" max="8" width="9.020000457763672" hidden="0" customWidth="1"/>
    <x:col min="9" max="9" width="16.149999618530273" hidden="0" customWidth="1"/>
    <x:col min="10" max="10" width="19.520000457763672" hidden="0" customWidth="1"/>
    <x:col min="11" max="11" width="14.800000190734863" hidden="0" customWidth="1"/>
    <x:col min="12" max="12" width="10.359999656677246" hidden="0" customWidth="1"/>
    <x:col min="13" max="13" width="34.31999969482422" hidden="0" customWidth="1"/>
  </x:cols>
  <x:sheetData>
    <x:row r="1">
      <x:c r="A1" s="4" t="str">
        <x:v>Customer ID</x:v>
      </x:c>
      <x:c r="B1" s="4" t="str">
        <x:v>Segment</x:v>
      </x:c>
      <x:c r="C1" s="4" t="str">
        <x:v>Customer Type</x:v>
      </x:c>
      <x:c r="D1" s="4" t="str">
        <x:v>Journey Stage</x:v>
      </x:c>
      <x:c r="E1" s="4" t="str">
        <x:v>Channel</x:v>
      </x:c>
      <x:c r="F1" s="4" t="str">
        <x:v>Complaint Category</x:v>
      </x:c>
      <x:c r="G1" s="4" t="str">
        <x:v>CSAT</x:v>
      </x:c>
      <x:c r="H1" s="4" t="str">
        <x:v>NPS</x:v>
      </x:c>
      <x:c r="I1" s="4" t="str">
        <x:v>Response Time Hours</x:v>
      </x:c>
      <x:c r="J1" s="4" t="str">
        <x:v>Repeat Purchase Intent %</x:v>
      </x:c>
      <x:c r="K1" s="4" t="str">
        <x:v>Feedback Volume</x:v>
      </x:c>
      <x:c r="L1" s="4" t="str">
        <x:v>Risk Level</x:v>
      </x:c>
      <x:c r="M1" s="4" t="str">
        <x:v>Recommended Action</x:v>
      </x:c>
    </x:row>
    <x:row r="2">
      <x:c r="A2" s="5" t="str">
        <x:v>CX001</x:v>
      </x:c>
      <x:c r="B2" s="5" t="str">
        <x:v>New owner onboarding</x:v>
      </x:c>
      <x:c r="C2" s="5" t="str">
        <x:v>New owners</x:v>
      </x:c>
      <x:c r="D2" s="5" t="str">
        <x:v>Owner Onboarding</x:v>
      </x:c>
      <x:c r="E2" s="5" t="str">
        <x:v>Dealer delivery</x:v>
      </x:c>
      <x:c r="F2" s="5" t="str">
        <x:v>Delivery explanation</x:v>
      </x:c>
      <x:c r="G2" s="5" t="n">
        <x:v>3.6</x:v>
      </x:c>
      <x:c r="H2" s="5" t="n">
        <x:v>22</x:v>
      </x:c>
      <x:c r="I2" s="5" t="n">
        <x:v>18</x:v>
      </x:c>
      <x:c r="J2" s="5" t="n">
        <x:v>64</x:v>
      </x:c>
      <x:c r="K2" s="5" t="n">
        <x:v>42</x:v>
      </x:c>
      <x:c r="L2" s="5" t="str">
        <x:v>Medium</x:v>
      </x:c>
      <x:c r="M2" s="5" t="str">
        <x:v>Improve delivery handover checklist</x:v>
      </x:c>
    </x:row>
    <x:row r="3">
      <x:c r="A3" s="5" t="str">
        <x:v>CX002</x:v>
      </x:c>
      <x:c r="B3" s="5" t="str">
        <x:v>New owner onboarding</x:v>
      </x:c>
      <x:c r="C3" s="5" t="str">
        <x:v>New owners</x:v>
      </x:c>
      <x:c r="D3" s="5" t="str">
        <x:v>Owner Onboarding</x:v>
      </x:c>
      <x:c r="E3" s="5" t="str">
        <x:v>CRM follow-up</x:v>
      </x:c>
      <x:c r="F3" s="5" t="str">
        <x:v>Delayed follow-up</x:v>
      </x:c>
      <x:c r="G3" s="5" t="n">
        <x:v>3.1</x:v>
      </x:c>
      <x:c r="H3" s="5" t="n">
        <x:v>4</x:v>
      </x:c>
      <x:c r="I3" s="5" t="n">
        <x:v>42</x:v>
      </x:c>
      <x:c r="J3" s="5" t="n">
        <x:v>51</x:v>
      </x:c>
      <x:c r="K3" s="5" t="n">
        <x:v>37</x:v>
      </x:c>
      <x:c r="L3" s="5" t="str">
        <x:v>High</x:v>
      </x:c>
      <x:c r="M3" s="5" t="str">
        <x:v>Create first 30-day follow-up trigger</x:v>
      </x:c>
    </x:row>
    <x:row r="4">
      <x:c r="A4" s="5" t="str">
        <x:v>CX003</x:v>
      </x:c>
      <x:c r="B4" s="5" t="str">
        <x:v>Post-delivery detractors</x:v>
      </x:c>
      <x:c r="C4" s="5" t="str">
        <x:v>At-risk customers</x:v>
      </x:c>
      <x:c r="D4" s="5" t="str">
        <x:v>Owner Onboarding</x:v>
      </x:c>
      <x:c r="E4" s="5" t="str">
        <x:v>Survey</x:v>
      </x:c>
      <x:c r="F4" s="5" t="str">
        <x:v>Low satisfaction</x:v>
      </x:c>
      <x:c r="G4" s="5" t="n">
        <x:v>2.4</x:v>
      </x:c>
      <x:c r="H4" s="5" t="n">
        <x:v>-28</x:v>
      </x:c>
      <x:c r="I4" s="5" t="n">
        <x:v>56</x:v>
      </x:c>
      <x:c r="J4" s="5" t="n">
        <x:v>22</x:v>
      </x:c>
      <x:c r="K4" s="5" t="n">
        <x:v>31</x:v>
      </x:c>
      <x:c r="L4" s="5" t="str">
        <x:v>High</x:v>
      </x:c>
      <x:c r="M4" s="5" t="str">
        <x:v>Assign recovery owner and callback SLA</x:v>
      </x:c>
    </x:row>
    <x:row r="5">
      <x:c r="A5" s="5" t="str">
        <x:v>CX004</x:v>
      </x:c>
      <x:c r="B5" s="5" t="str">
        <x:v>Scrambler first-time riders</x:v>
      </x:c>
      <x:c r="C5" s="5" t="str">
        <x:v>New riders</x:v>
      </x:c>
      <x:c r="D5" s="5" t="str">
        <x:v>Owner Onboarding</x:v>
      </x:c>
      <x:c r="E5" s="5" t="str">
        <x:v>Digital support</x:v>
      </x:c>
      <x:c r="F5" s="5" t="str">
        <x:v>Onboarding content</x:v>
      </x:c>
      <x:c r="G5" s="5" t="n">
        <x:v>3.8</x:v>
      </x:c>
      <x:c r="H5" s="5" t="n">
        <x:v>31</x:v>
      </x:c>
      <x:c r="I5" s="5" t="n">
        <x:v>24</x:v>
      </x:c>
      <x:c r="J5" s="5" t="n">
        <x:v>68</x:v>
      </x:c>
      <x:c r="K5" s="5" t="n">
        <x:v>28</x:v>
      </x:c>
      <x:c r="L5" s="5" t="str">
        <x:v>Medium</x:v>
      </x:c>
      <x:c r="M5" s="5" t="str">
        <x:v>Segment onboarding content by rider experience</x:v>
      </x:c>
    </x:row>
    <x:row r="6">
      <x:c r="A6" s="5" t="str">
        <x:v>CX005</x:v>
      </x:c>
      <x:c r="B6" s="5" t="str">
        <x:v>Service appointment journey</x:v>
      </x:c>
      <x:c r="C6" s="5" t="str">
        <x:v>Service customers</x:v>
      </x:c>
      <x:c r="D6" s="5" t="str">
        <x:v>Service</x:v>
      </x:c>
      <x:c r="E6" s="5" t="str">
        <x:v>Dealer service</x:v>
      </x:c>
      <x:c r="F6" s="5" t="str">
        <x:v>Booking friction</x:v>
      </x:c>
      <x:c r="G6" s="5" t="n">
        <x:v>2.9</x:v>
      </x:c>
      <x:c r="H6" s="5" t="n">
        <x:v>-6</x:v>
      </x:c>
      <x:c r="I6" s="5" t="n">
        <x:v>64</x:v>
      </x:c>
      <x:c r="J6" s="5" t="n">
        <x:v>43</x:v>
      </x:c>
      <x:c r="K6" s="5" t="n">
        <x:v>55</x:v>
      </x:c>
      <x:c r="L6" s="5" t="str">
        <x:v>High</x:v>
      </x:c>
      <x:c r="M6" s="5" t="str">
        <x:v>Review booking reminders and appointment slots</x:v>
      </x:c>
    </x:row>
    <x:row r="7">
      <x:c r="A7" s="5" t="str">
        <x:v>CX006</x:v>
      </x:c>
      <x:c r="B7" s="5" t="str">
        <x:v>Service appointment journey</x:v>
      </x:c>
      <x:c r="C7" s="5" t="str">
        <x:v>Service customers</x:v>
      </x:c>
      <x:c r="D7" s="5" t="str">
        <x:v>Service</x:v>
      </x:c>
      <x:c r="E7" s="5" t="str">
        <x:v>Dealer service</x:v>
      </x:c>
      <x:c r="F7" s="5" t="str">
        <x:v>Wait time</x:v>
      </x:c>
      <x:c r="G7" s="5" t="n">
        <x:v>3.2</x:v>
      </x:c>
      <x:c r="H7" s="5" t="n">
        <x:v>8</x:v>
      </x:c>
      <x:c r="I7" s="5" t="n">
        <x:v>48</x:v>
      </x:c>
      <x:c r="J7" s="5" t="n">
        <x:v>49</x:v>
      </x:c>
      <x:c r="K7" s="5" t="n">
        <x:v>61</x:v>
      </x:c>
      <x:c r="L7" s="5" t="str">
        <x:v>High</x:v>
      </x:c>
      <x:c r="M7" s="5" t="str">
        <x:v>Add post-service explanation template</x:v>
      </x:c>
    </x:row>
    <x:row r="8">
      <x:c r="A8" s="5" t="str">
        <x:v>CX007</x:v>
      </x:c>
      <x:c r="B8" s="5" t="str">
        <x:v>Warranty claim journey</x:v>
      </x:c>
      <x:c r="C8" s="5" t="str">
        <x:v>At-risk customers</x:v>
      </x:c>
      <x:c r="D8" s="5" t="str">
        <x:v>Service</x:v>
      </x:c>
      <x:c r="E8" s="5" t="str">
        <x:v>After-sales</x:v>
      </x:c>
      <x:c r="F8" s="5" t="str">
        <x:v>Resolution time</x:v>
      </x:c>
      <x:c r="G8" s="5" t="n">
        <x:v>2.6</x:v>
      </x:c>
      <x:c r="H8" s="5" t="n">
        <x:v>-22</x:v>
      </x:c>
      <x:c r="I8" s="5" t="n">
        <x:v>96</x:v>
      </x:c>
      <x:c r="J8" s="5" t="n">
        <x:v>28</x:v>
      </x:c>
      <x:c r="K8" s="5" t="n">
        <x:v>46</x:v>
      </x:c>
      <x:c r="L8" s="5" t="str">
        <x:v>High</x:v>
      </x:c>
      <x:c r="M8" s="5" t="str">
        <x:v>Map warranty status and escalation owner</x:v>
      </x:c>
    </x:row>
    <x:row r="9">
      <x:c r="A9" s="5" t="str">
        <x:v>CX008</x:v>
      </x:c>
      <x:c r="B9" s="5" t="str">
        <x:v>Lapsed service customers</x:v>
      </x:c>
      <x:c r="C9" s="5" t="str">
        <x:v>Retention</x:v>
      </x:c>
      <x:c r="D9" s="5" t="str">
        <x:v>Service</x:v>
      </x:c>
      <x:c r="E9" s="5" t="str">
        <x:v>CRM</x:v>
      </x:c>
      <x:c r="F9" s="5" t="str">
        <x:v>Price perception</x:v>
      </x:c>
      <x:c r="G9" s="5" t="n">
        <x:v>3</x:v>
      </x:c>
      <x:c r="H9" s="5" t="n">
        <x:v>-4</x:v>
      </x:c>
      <x:c r="I9" s="5" t="n">
        <x:v>72</x:v>
      </x:c>
      <x:c r="J9" s="5" t="n">
        <x:v>35</x:v>
      </x:c>
      <x:c r="K9" s="5" t="n">
        <x:v>33</x:v>
      </x:c>
      <x:c r="L9" s="5" t="str">
        <x:v>High</x:v>
      </x:c>
      <x:c r="M9" s="5" t="str">
        <x:v>Profile service lapse reasons by segment</x:v>
      </x:c>
    </x:row>
    <x:row r="10">
      <x:c r="A10" s="5" t="str">
        <x:v>CX009</x:v>
      </x:c>
      <x:c r="B10" s="5" t="str">
        <x:v>Multistrada touring customers</x:v>
      </x:c>
      <x:c r="C10" s="5" t="str">
        <x:v>Community customers</x:v>
      </x:c>
      <x:c r="D10" s="5" t="str">
        <x:v>Loyalty</x:v>
      </x:c>
      <x:c r="E10" s="5" t="str">
        <x:v>Community</x:v>
      </x:c>
      <x:c r="F10" s="5" t="str">
        <x:v>Accessory availability</x:v>
      </x:c>
      <x:c r="G10" s="5" t="n">
        <x:v>4.2</x:v>
      </x:c>
      <x:c r="H10" s="5" t="n">
        <x:v>51</x:v>
      </x:c>
      <x:c r="I10" s="5" t="n">
        <x:v>18</x:v>
      </x:c>
      <x:c r="J10" s="5" t="n">
        <x:v>82</x:v>
      </x:c>
      <x:c r="K10" s="5" t="n">
        <x:v>39</x:v>
      </x:c>
      <x:c r="L10" s="5" t="str">
        <x:v>Low</x:v>
      </x:c>
      <x:c r="M10" s="5" t="str">
        <x:v>Bundle trip-support content and accessories feedback</x:v>
      </x:c>
    </x:row>
    <x:row r="11">
      <x:c r="A11" s="5" t="str">
        <x:v>CX010</x:v>
      </x:c>
      <x:c r="B11" s="5" t="str">
        <x:v>VIP and repeat owners</x:v>
      </x:c>
      <x:c r="C11" s="5" t="str">
        <x:v>Premium owners</x:v>
      </x:c>
      <x:c r="D11" s="5" t="str">
        <x:v>Loyalty</x:v>
      </x:c>
      <x:c r="E11" s="5" t="str">
        <x:v>Events</x:v>
      </x:c>
      <x:c r="F11" s="5" t="str">
        <x:v>Exclusive services</x:v>
      </x:c>
      <x:c r="G11" s="5" t="n">
        <x:v>4.5</x:v>
      </x:c>
      <x:c r="H11" s="5" t="n">
        <x:v>63</x:v>
      </x:c>
      <x:c r="I11" s="5" t="n">
        <x:v>10</x:v>
      </x:c>
      <x:c r="J11" s="5" t="n">
        <x:v>88</x:v>
      </x:c>
      <x:c r="K11" s="5" t="n">
        <x:v>22</x:v>
      </x:c>
      <x:c r="L11" s="5" t="str">
        <x:v>Low</x:v>
      </x:c>
      <x:c r="M11" s="5" t="str">
        <x:v>Track VIP event satisfaction and follow-up</x:v>
      </x:c>
    </x:row>
    <x:row r="12">
      <x:c r="A12" s="5" t="str">
        <x:v>CX011</x:v>
      </x:c>
      <x:c r="B12" s="5" t="str">
        <x:v>Accessories and apparel customers</x:v>
      </x:c>
      <x:c r="C12" s="5" t="str">
        <x:v>Retail customers</x:v>
      </x:c>
      <x:c r="D12" s="5" t="str">
        <x:v>Loyalty</x:v>
      </x:c>
      <x:c r="E12" s="5" t="str">
        <x:v>E-commerce</x:v>
      </x:c>
      <x:c r="F12" s="5" t="str">
        <x:v>Availability</x:v>
      </x:c>
      <x:c r="G12" s="5" t="n">
        <x:v>3.7</x:v>
      </x:c>
      <x:c r="H12" s="5" t="n">
        <x:v>34</x:v>
      </x:c>
      <x:c r="I12" s="5" t="n">
        <x:v>30</x:v>
      </x:c>
      <x:c r="J12" s="5" t="n">
        <x:v>66</x:v>
      </x:c>
      <x:c r="K12" s="5" t="n">
        <x:v>26</x:v>
      </x:c>
      <x:c r="L12" s="5" t="str">
        <x:v>Medium</x:v>
      </x:c>
      <x:c r="M12" s="5" t="str">
        <x:v>Monitor product availability by purchase type</x:v>
      </x:c>
    </x:row>
    <x:row r="13">
      <x:c r="A13" s="5" t="str">
        <x:v>CX012</x:v>
      </x:c>
      <x:c r="B13" s="5" t="str">
        <x:v>Community event participants</x:v>
      </x:c>
      <x:c r="C13" s="5" t="str">
        <x:v>Community customers</x:v>
      </x:c>
      <x:c r="D13" s="5" t="str">
        <x:v>Loyalty</x:v>
      </x:c>
      <x:c r="E13" s="5" t="str">
        <x:v>Events</x:v>
      </x:c>
      <x:c r="F13" s="5" t="str">
        <x:v>Event follow-up</x:v>
      </x:c>
      <x:c r="G13" s="5" t="n">
        <x:v>4.1</x:v>
      </x:c>
      <x:c r="H13" s="5" t="n">
        <x:v>48</x:v>
      </x:c>
      <x:c r="I13" s="5" t="n">
        <x:v>20</x:v>
      </x:c>
      <x:c r="J13" s="5" t="n">
        <x:v>79</x:v>
      </x:c>
      <x:c r="K13" s="5" t="n">
        <x:v>30</x:v>
      </x:c>
      <x:c r="L13" s="5" t="str">
        <x:v>Low</x:v>
      </x:c>
      <x:c r="M13" s="5" t="str">
        <x:v>Create post-event follow-up digest</x:v>
      </x:c>
    </x:row>
    <x:row r="14">
      <x:c r="A14" s="5" t="str">
        <x:v>CX013</x:v>
      </x:c>
      <x:c r="B14" s="5" t="str">
        <x:v>Digital configurator leads</x:v>
      </x:c>
      <x:c r="C14" s="5" t="str">
        <x:v>Digital prospects</x:v>
      </x:c>
      <x:c r="D14" s="5" t="str">
        <x:v>Digital</x:v>
      </x:c>
      <x:c r="E14" s="5" t="str">
        <x:v>Configurator</x:v>
      </x:c>
      <x:c r="F14" s="5" t="str">
        <x:v>Drop-off</x:v>
      </x:c>
      <x:c r="G14" s="5" t="n">
        <x:v>3.4</x:v>
      </x:c>
      <x:c r="H14" s="5" t="n">
        <x:v>16</x:v>
      </x:c>
      <x:c r="I14" s="5" t="n">
        <x:v>36</x:v>
      </x:c>
      <x:c r="J14" s="5" t="n">
        <x:v>57</x:v>
      </x:c>
      <x:c r="K14" s="5" t="n">
        <x:v>58</x:v>
      </x:c>
      <x:c r="L14" s="5" t="str">
        <x:v>Medium</x:v>
      </x:c>
      <x:c r="M14" s="5" t="str">
        <x:v>Separate configurator intent from lead quality</x:v>
      </x:c>
    </x:row>
    <x:row r="15">
      <x:c r="A15" s="5" t="str">
        <x:v>CX014</x:v>
      </x:c>
      <x:c r="B15" s="5" t="str">
        <x:v>App and connected services users</x:v>
      </x:c>
      <x:c r="C15" s="5" t="str">
        <x:v>Digital users</x:v>
      </x:c>
      <x:c r="D15" s="5" t="str">
        <x:v>Digital</x:v>
      </x:c>
      <x:c r="E15" s="5" t="str">
        <x:v>Mobile app</x:v>
      </x:c>
      <x:c r="F15" s="5" t="str">
        <x:v>App usability</x:v>
      </x:c>
      <x:c r="G15" s="5" t="n">
        <x:v>3</x:v>
      </x:c>
      <x:c r="H15" s="5" t="n">
        <x:v>-2</x:v>
      </x:c>
      <x:c r="I15" s="5" t="n">
        <x:v>44</x:v>
      </x:c>
      <x:c r="J15" s="5" t="n">
        <x:v>46</x:v>
      </x:c>
      <x:c r="K15" s="5" t="n">
        <x:v>49</x:v>
      </x:c>
      <x:c r="L15" s="5" t="str">
        <x:v>High</x:v>
      </x:c>
      <x:c r="M15" s="5" t="str">
        <x:v>Tag app feedback by feature and severity</x:v>
      </x:c>
    </x:row>
    <x:row r="16">
      <x:c r="A16" s="5" t="str">
        <x:v>CX015</x:v>
      </x:c>
      <x:c r="B16" s="5" t="str">
        <x:v>Test ride participants</x:v>
      </x:c>
      <x:c r="C16" s="5" t="str">
        <x:v>Prospects</x:v>
      </x:c>
      <x:c r="D16" s="5" t="str">
        <x:v>Digital</x:v>
      </x:c>
      <x:c r="E16" s="5" t="str">
        <x:v>CRM</x:v>
      </x:c>
      <x:c r="F16" s="5" t="str">
        <x:v>Delayed follow-up</x:v>
      </x:c>
      <x:c r="G16" s="5" t="n">
        <x:v>3.3</x:v>
      </x:c>
      <x:c r="H16" s="5" t="n">
        <x:v>12</x:v>
      </x:c>
      <x:c r="I16" s="5" t="n">
        <x:v>40</x:v>
      </x:c>
      <x:c r="J16" s="5" t="n">
        <x:v>55</x:v>
      </x:c>
      <x:c r="K16" s="5" t="n">
        <x:v>34</x:v>
      </x:c>
      <x:c r="L16" s="5" t="str">
        <x:v>Medium</x:v>
      </x:c>
      <x:c r="M16" s="5" t="str">
        <x:v>Set follow-up SLA after test ride</x:v>
      </x:c>
    </x:row>
    <x:row r="17">
      <x:c r="A17" s="5" t="str">
        <x:v>CX016</x:v>
      </x:c>
      <x:c r="B17" s="5" t="str">
        <x:v>Pre-owned and trade-in prospects</x:v>
      </x:c>
      <x:c r="C17" s="5" t="str">
        <x:v>Retail prospects</x:v>
      </x:c>
      <x:c r="D17" s="5" t="str">
        <x:v>Digital</x:v>
      </x:c>
      <x:c r="E17" s="5" t="str">
        <x:v>Dealer inquiry</x:v>
      </x:c>
      <x:c r="F17" s="5" t="str">
        <x:v>Financing questions</x:v>
      </x:c>
      <x:c r="G17" s="5" t="n">
        <x:v>3.5</x:v>
      </x:c>
      <x:c r="H17" s="5" t="n">
        <x:v>19</x:v>
      </x:c>
      <x:c r="I17" s="5" t="n">
        <x:v>38</x:v>
      </x:c>
      <x:c r="J17" s="5" t="n">
        <x:v>61</x:v>
      </x:c>
      <x:c r="K17" s="5" t="n">
        <x:v>29</x:v>
      </x:c>
      <x:c r="L17" s="5" t="str">
        <x:v>Medium</x:v>
      </x:c>
      <x:c r="M17" s="5" t="str">
        <x:v>Segment financing and trade-in questions</x:v>
      </x:c>
    </x:row>
    <x:row r="18">
      <x:c r="A18" s="5" t="str">
        <x:v>CX017</x:v>
      </x:c>
      <x:c r="B18" s="5" t="str">
        <x:v>Panigale performance owners</x:v>
      </x:c>
      <x:c r="C18" s="5" t="str">
        <x:v>Premium owners</x:v>
      </x:c>
      <x:c r="D18" s="5" t="str">
        <x:v>Premium Ownership</x:v>
      </x:c>
      <x:c r="E18" s="5" t="str">
        <x:v>Dealer delivery</x:v>
      </x:c>
      <x:c r="F18" s="5" t="str">
        <x:v>Technical support</x:v>
      </x:c>
      <x:c r="G18" s="5" t="n">
        <x:v>4</x:v>
      </x:c>
      <x:c r="H18" s="5" t="n">
        <x:v>44</x:v>
      </x:c>
      <x:c r="I18" s="5" t="n">
        <x:v>22</x:v>
      </x:c>
      <x:c r="J18" s="5" t="n">
        <x:v>76</x:v>
      </x:c>
      <x:c r="K18" s="5" t="n">
        <x:v>24</x:v>
      </x:c>
      <x:c r="L18" s="5" t="str">
        <x:v>Medium</x:v>
      </x:c>
      <x:c r="M18" s="5" t="str">
        <x:v>Route technical questions to expert owner</x:v>
      </x:c>
    </x:row>
    <x:row r="19">
      <x:c r="A19" s="5" t="str">
        <x:v>CX018</x:v>
      </x:c>
      <x:c r="B19" s="5" t="str">
        <x:v>Panigale performance owners</x:v>
      </x:c>
      <x:c r="C19" s="5" t="str">
        <x:v>Premium owners</x:v>
      </x:c>
      <x:c r="D19" s="5" t="str">
        <x:v>Premium Ownership</x:v>
      </x:c>
      <x:c r="E19" s="5" t="str">
        <x:v>After-sales</x:v>
      </x:c>
      <x:c r="F19" s="5" t="str">
        <x:v>Expectation gap</x:v>
      </x:c>
      <x:c r="G19" s="5" t="n">
        <x:v>3.5</x:v>
      </x:c>
      <x:c r="H19" s="5" t="n">
        <x:v>18</x:v>
      </x:c>
      <x:c r="I19" s="5" t="n">
        <x:v>35</x:v>
      </x:c>
      <x:c r="J19" s="5" t="n">
        <x:v>62</x:v>
      </x:c>
      <x:c r="K19" s="5" t="n">
        <x:v>27</x:v>
      </x:c>
      <x:c r="L19" s="5" t="str">
        <x:v>Medium</x:v>
      </x:c>
      <x:c r="M19" s="5" t="str">
        <x:v>Separate product support from delivery feedback</x:v>
      </x:c>
    </x:row>
    <x:row r="20">
      <x:c r="A20" s="5" t="str">
        <x:v>CX019</x:v>
      </x:c>
      <x:c r="B20" s="5" t="str">
        <x:v>VIP and repeat owners</x:v>
      </x:c>
      <x:c r="C20" s="5" t="str">
        <x:v>Premium owners</x:v>
      </x:c>
      <x:c r="D20" s="5" t="str">
        <x:v>Premium Ownership</x:v>
      </x:c>
      <x:c r="E20" s="5" t="str">
        <x:v>CRM</x:v>
      </x:c>
      <x:c r="F20" s="5" t="str">
        <x:v>Personalization</x:v>
      </x:c>
      <x:c r="G20" s="5" t="n">
        <x:v>4.4</x:v>
      </x:c>
      <x:c r="H20" s="5" t="n">
        <x:v>61</x:v>
      </x:c>
      <x:c r="I20" s="5" t="n">
        <x:v>14</x:v>
      </x:c>
      <x:c r="J20" s="5" t="n">
        <x:v>86</x:v>
      </x:c>
      <x:c r="K20" s="5" t="n">
        <x:v>18</x:v>
      </x:c>
      <x:c r="L20" s="5" t="str">
        <x:v>Low</x:v>
      </x:c>
      <x:c r="M20" s="5" t="str">
        <x:v>Track preferences for high-value owners</x:v>
      </x:c>
    </x:row>
    <x:row r="21">
      <x:c r="A21" s="5" t="str">
        <x:v>CX020</x:v>
      </x:c>
      <x:c r="B21" s="5" t="str">
        <x:v>Premium service experience</x:v>
      </x:c>
      <x:c r="C21" s="5" t="str">
        <x:v>Premium owners</x:v>
      </x:c>
      <x:c r="D21" s="5" t="str">
        <x:v>Premium Ownership</x:v>
      </x:c>
      <x:c r="E21" s="5" t="str">
        <x:v>Dealer service</x:v>
      </x:c>
      <x:c r="F21" s="5" t="str">
        <x:v>Communication clarity</x:v>
      </x:c>
      <x:c r="G21" s="5" t="n">
        <x:v>3.4</x:v>
      </x:c>
      <x:c r="H21" s="5" t="n">
        <x:v>15</x:v>
      </x:c>
      <x:c r="I21" s="5" t="n">
        <x:v>44</x:v>
      </x:c>
      <x:c r="J21" s="5" t="n">
        <x:v>58</x:v>
      </x:c>
      <x:c r="K21" s="5" t="n">
        <x:v>25</x:v>
      </x:c>
      <x:c r="L21" s="5" t="str">
        <x:v>Medium</x:v>
      </x:c>
      <x:c r="M21" s="5" t="str">
        <x:v>Improve premium service communication</x:v>
      </x:c>
    </x:row>
    <x:row r="22">
      <x:c r="A22" s="5" t="str">
        <x:v>CX021</x:v>
      </x:c>
      <x:c r="B22" s="5" t="str">
        <x:v>International visitors and tourists</x:v>
      </x:c>
      <x:c r="C22" s="5" t="str">
        <x:v>Visitors</x:v>
      </x:c>
      <x:c r="D22" s="5" t="str">
        <x:v>Brand Experience</x:v>
      </x:c>
      <x:c r="E22" s="5" t="str">
        <x:v>Museum/event</x:v>
      </x:c>
      <x:c r="F22" s="5" t="str">
        <x:v>Language support</x:v>
      </x:c>
      <x:c r="G22" s="5" t="n">
        <x:v>3.9</x:v>
      </x:c>
      <x:c r="H22" s="5" t="n">
        <x:v>36</x:v>
      </x:c>
      <x:c r="I22" s="5" t="n">
        <x:v>16</x:v>
      </x:c>
      <x:c r="J22" s="5" t="n">
        <x:v>70</x:v>
      </x:c>
      <x:c r="K22" s="5" t="n">
        <x:v>21</x:v>
      </x:c>
      <x:c r="L22" s="5" t="str">
        <x:v>Low</x:v>
      </x:c>
      <x:c r="M22" s="5" t="str">
        <x:v>Add language support tag to visitor feedback</x:v>
      </x:c>
    </x:row>
    <x:row r="23">
      <x:c r="A23" s="5" t="str">
        <x:v>CX022</x:v>
      </x:c>
      <x:c r="B23" s="5" t="str">
        <x:v>Test ride participants</x:v>
      </x:c>
      <x:c r="C23" s="5" t="str">
        <x:v>Prospects</x:v>
      </x:c>
      <x:c r="D23" s="5" t="str">
        <x:v>Brand Experience</x:v>
      </x:c>
      <x:c r="E23" s="5" t="str">
        <x:v>Events</x:v>
      </x:c>
      <x:c r="F23" s="5" t="str">
        <x:v>Follow-up quality</x:v>
      </x:c>
      <x:c r="G23" s="5" t="n">
        <x:v>3.6</x:v>
      </x:c>
      <x:c r="H23" s="5" t="n">
        <x:v>27</x:v>
      </x:c>
      <x:c r="I23" s="5" t="n">
        <x:v>28</x:v>
      </x:c>
      <x:c r="J23" s="5" t="n">
        <x:v>65</x:v>
      </x:c>
      <x:c r="K23" s="5" t="n">
        <x:v>32</x:v>
      </x:c>
      <x:c r="L23" s="5" t="str">
        <x:v>Medium</x:v>
      </x:c>
      <x:c r="M23" s="5" t="str">
        <x:v>Compare follow-up quality after events</x:v>
      </x:c>
    </x:row>
    <x:row r="24">
      <x:c r="A24" s="5" t="str">
        <x:v>CX023</x:v>
      </x:c>
      <x:c r="B24" s="5" t="str">
        <x:v>Dealer follow-up experience</x:v>
      </x:c>
      <x:c r="C24" s="5" t="str">
        <x:v>Prospects</x:v>
      </x:c>
      <x:c r="D24" s="5" t="str">
        <x:v>Purchase Journey</x:v>
      </x:c>
      <x:c r="E24" s="5" t="str">
        <x:v>Dealer inquiry</x:v>
      </x:c>
      <x:c r="F24" s="5" t="str">
        <x:v>Response time</x:v>
      </x:c>
      <x:c r="G24" s="5" t="n">
        <x:v>2.8</x:v>
      </x:c>
      <x:c r="H24" s="5" t="n">
        <x:v>-10</x:v>
      </x:c>
      <x:c r="I24" s="5" t="n">
        <x:v>58</x:v>
      </x:c>
      <x:c r="J24" s="5" t="n">
        <x:v>41</x:v>
      </x:c>
      <x:c r="K24" s="5" t="n">
        <x:v>52</x:v>
      </x:c>
      <x:c r="L24" s="5" t="str">
        <x:v>High</x:v>
      </x:c>
      <x:c r="M24" s="5" t="str">
        <x:v>Assign dealer follow-up response target</x:v>
      </x:c>
    </x:row>
    <x:row r="25">
      <x:c r="A25" s="5" t="str">
        <x:v>CX024</x:v>
      </x:c>
      <x:c r="B25" s="5" t="str">
        <x:v>Digital configurator leads</x:v>
      </x:c>
      <x:c r="C25" s="5" t="str">
        <x:v>Digital prospects</x:v>
      </x:c>
      <x:c r="D25" s="5" t="str">
        <x:v>Purchase Journey</x:v>
      </x:c>
      <x:c r="E25" s="5" t="str">
        <x:v>Configurator</x:v>
      </x:c>
      <x:c r="F25" s="5" t="str">
        <x:v>Lead handoff</x:v>
      </x:c>
      <x:c r="G25" s="5" t="n">
        <x:v>3.2</x:v>
      </x:c>
      <x:c r="H25" s="5" t="n">
        <x:v>5</x:v>
      </x:c>
      <x:c r="I25" s="5" t="n">
        <x:v>50</x:v>
      </x:c>
      <x:c r="J25" s="5" t="n">
        <x:v>54</x:v>
      </x:c>
      <x:c r="K25" s="5" t="n">
        <x:v>47</x:v>
      </x:c>
      <x:c r="L25" s="5" t="str">
        <x:v>High</x:v>
      </x:c>
      <x:c r="M25" s="5" t="str">
        <x:v>Map configurator lead handoff fields</x:v>
      </x:c>
    </x:row>
    <x:row r="26">
      <x:c r="A26" s="5" t="str">
        <x:v>CX025</x:v>
      </x:c>
      <x:c r="B26" s="5" t="str">
        <x:v>Post-delivery detractors</x:v>
      </x:c>
      <x:c r="C26" s="5" t="str">
        <x:v>At-risk customers</x:v>
      </x:c>
      <x:c r="D26" s="5" t="str">
        <x:v>Purchase Journey</x:v>
      </x:c>
      <x:c r="E26" s="5" t="str">
        <x:v>Survey</x:v>
      </x:c>
      <x:c r="F26" s="5" t="str">
        <x:v>Low satisfaction</x:v>
      </x:c>
      <x:c r="G26" s="5" t="n">
        <x:v>2.3</x:v>
      </x:c>
      <x:c r="H26" s="5" t="n">
        <x:v>-35</x:v>
      </x:c>
      <x:c r="I26" s="5" t="n">
        <x:v>84</x:v>
      </x:c>
      <x:c r="J26" s="5" t="n">
        <x:v>20</x:v>
      </x:c>
      <x:c r="K26" s="5" t="n">
        <x:v>36</x:v>
      </x:c>
      <x:c r="L26" s="5" t="str">
        <x:v>High</x:v>
      </x:c>
      <x:c r="M26" s="5" t="str">
        <x:v>Start detractor recovery workflow</x:v>
      </x:c>
    </x:row>
    <x:row r="27">
      <x:c r="A27" s="5" t="str">
        <x:v>CX026</x:v>
      </x:c>
      <x:c r="B27" s="5" t="str">
        <x:v>Accessories and apparel customers</x:v>
      </x:c>
      <x:c r="C27" s="5" t="str">
        <x:v>Retail customers</x:v>
      </x:c>
      <x:c r="D27" s="5" t="str">
        <x:v>Retail</x:v>
      </x:c>
      <x:c r="E27" s="5" t="str">
        <x:v>Store/e-commerce</x:v>
      </x:c>
      <x:c r="F27" s="5" t="str">
        <x:v>Availability</x:v>
      </x:c>
      <x:c r="G27" s="5" t="n">
        <x:v>3.8</x:v>
      </x:c>
      <x:c r="H27" s="5" t="n">
        <x:v>33</x:v>
      </x:c>
      <x:c r="I27" s="5" t="n">
        <x:v>26</x:v>
      </x:c>
      <x:c r="J27" s="5" t="n">
        <x:v>67</x:v>
      </x:c>
      <x:c r="K27" s="5" t="n">
        <x:v>23</x:v>
      </x:c>
      <x:c r="L27" s="5" t="str">
        <x:v>Medium</x:v>
      </x:c>
      <x:c r="M27" s="5" t="str">
        <x:v>Track availability issue by channel</x:v>
      </x:c>
    </x:row>
    <x:row r="28">
      <x:c r="A28" s="5" t="str">
        <x:v>CX027</x:v>
      </x:c>
      <x:c r="B28" s="5" t="str">
        <x:v>Lapsed service customers</x:v>
      </x:c>
      <x:c r="C28" s="5" t="str">
        <x:v>Retention</x:v>
      </x:c>
      <x:c r="D28" s="5" t="str">
        <x:v>Retention</x:v>
      </x:c>
      <x:c r="E28" s="5" t="str">
        <x:v>CRM</x:v>
      </x:c>
      <x:c r="F28" s="5" t="str">
        <x:v>Low engagement</x:v>
      </x:c>
      <x:c r="G28" s="5" t="n">
        <x:v>2.7</x:v>
      </x:c>
      <x:c r="H28" s="5" t="n">
        <x:v>-18</x:v>
      </x:c>
      <x:c r="I28" s="5" t="n">
        <x:v>76</x:v>
      </x:c>
      <x:c r="J28" s="5" t="n">
        <x:v>31</x:v>
      </x:c>
      <x:c r="K28" s="5" t="n">
        <x:v>30</x:v>
      </x:c>
      <x:c r="L28" s="5" t="str">
        <x:v>High</x:v>
      </x:c>
      <x:c r="M28" s="5" t="str">
        <x:v>Create retention segment and reactivation test</x:v>
      </x:c>
    </x:row>
    <x:row r="29">
      <x:c r="A29" s="5" t="str">
        <x:v>CX028</x:v>
      </x:c>
      <x:c r="B29" s="5" t="str">
        <x:v>Multistrada touring customers</x:v>
      </x:c>
      <x:c r="C29" s="5" t="str">
        <x:v>Community customers</x:v>
      </x:c>
      <x:c r="D29" s="5" t="str">
        <x:v>Retention</x:v>
      </x:c>
      <x:c r="E29" s="5" t="str">
        <x:v>Community</x:v>
      </x:c>
      <x:c r="F29" s="5" t="str">
        <x:v>Service needs</x:v>
      </x:c>
      <x:c r="G29" s="5" t="n">
        <x:v>4</x:v>
      </x:c>
      <x:c r="H29" s="5" t="n">
        <x:v>45</x:v>
      </x:c>
      <x:c r="I29" s="5" t="n">
        <x:v>24</x:v>
      </x:c>
      <x:c r="J29" s="5" t="n">
        <x:v>78</x:v>
      </x:c>
      <x:c r="K29" s="5" t="n">
        <x:v>35</x:v>
      </x:c>
      <x:c r="L29" s="5" t="str">
        <x:v>Low</x:v>
      </x:c>
      <x:c r="M29" s="5" t="str">
        <x:v>Connect touring feedback to after-sales content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9.5600004196167" hidden="0" customWidth="1"/>
    <x:col min="3" max="3" width="9.829999923706055" hidden="0" customWidth="1"/>
    <x:col min="4" max="4" width="9.829999923706055" hidden="0" customWidth="1"/>
    <x:col min="5" max="5" width="15.210000038146973" hidden="0" customWidth="1"/>
    <x:col min="6" max="6" width="15.75" hidden="0" customWidth="1"/>
    <x:col min="7" max="7" width="14.399999618530273" hidden="0" customWidth="1"/>
    <x:col min="8" max="8" width="15.210000038146973" hidden="0" customWidth="1"/>
    <x:col min="10" max="10" width="22.209999084472656" hidden="0" customWidth="1"/>
    <x:col min="11" max="11" width="9.5600004196167" hidden="0" customWidth="1"/>
    <x:col min="12" max="12" width="14.399999618530273" hidden="0" customWidth="1"/>
    <x:col min="13" max="13" width="9.829999923706055" hidden="0" customWidth="1"/>
    <x:col min="14" max="14" width="15.210000038146973" hidden="0" customWidth="1"/>
  </x:cols>
  <x:sheetData>
    <x:row r="1">
      <x:c r="A1" s="9" t="str">
        <x:v>Journey Stage Summary</x:v>
      </x:c>
      <x:c r="B1" s="9" t="str"/>
      <x:c r="C1" s="9" t="str"/>
      <x:c r="D1" s="9" t="str"/>
      <x:c r="E1" s="9" t="str"/>
      <x:c r="F1" s="9" t="str"/>
      <x:c r="G1" s="9" t="str"/>
      <x:c r="H1" s="9" t="str"/>
    </x:row>
    <x:row r="3">
      <x:c r="A3" s="4" t="str">
        <x:v>Journey Stage</x:v>
      </x:c>
      <x:c r="B3" s="4" t="str">
        <x:v>Records</x:v>
      </x:c>
      <x:c r="C3" s="4" t="str">
        <x:v>Avg CSAT</x:v>
      </x:c>
      <x:c r="D3" s="4" t="str">
        <x:v>Avg NPS</x:v>
      </x:c>
      <x:c r="E3" s="4" t="str">
        <x:v>Avg Response Hrs</x:v>
      </x:c>
      <x:c r="F3" s="4" t="str">
        <x:v>Avg Repeat Intent</x:v>
      </x:c>
      <x:c r="G3" s="4" t="str">
        <x:v>Feedback Volume</x:v>
      </x:c>
      <x:c r="H3" s="4" t="str">
        <x:v>High-Risk Records</x:v>
      </x:c>
      <x:c r="J3" s="4" t="str">
        <x:v>Complaint Category</x:v>
      </x:c>
      <x:c r="K3" s="4" t="str">
        <x:v>Records</x:v>
      </x:c>
      <x:c r="L3" s="4" t="str">
        <x:v>Feedback Volume</x:v>
      </x:c>
      <x:c r="M3" s="4" t="str">
        <x:v>Avg CSAT</x:v>
      </x:c>
      <x:c r="N3" s="4" t="str">
        <x:v>High-Risk Records</x:v>
      </x:c>
    </x:row>
    <x:row r="4">
      <x:c r="A4" t="str">
        <x:v>Owner Onboarding</x:v>
      </x:c>
      <x:c r="B4" t="n">
        <x:v>4</x:v>
      </x:c>
      <x:c r="C4" t="n">
        <x:v>3.2</x:v>
      </x:c>
      <x:c r="D4" t="n">
        <x:v>7.3</x:v>
      </x:c>
      <x:c r="E4" t="n">
        <x:v>35</x:v>
      </x:c>
      <x:c r="F4" t="n">
        <x:v>51.3</x:v>
      </x:c>
      <x:c r="G4" t="n">
        <x:v>138</x:v>
      </x:c>
      <x:c r="H4" t="n">
        <x:v>2</x:v>
      </x:c>
      <x:c r="J4" t="str">
        <x:v>Delayed follow-up</x:v>
      </x:c>
      <x:c r="K4" t="n">
        <x:v>2</x:v>
      </x:c>
      <x:c r="L4" t="n">
        <x:v>71</x:v>
      </x:c>
      <x:c r="M4" t="n">
        <x:v>3.2</x:v>
      </x:c>
      <x:c r="N4" t="n">
        <x:v>1</x:v>
      </x:c>
    </x:row>
    <x:row r="5">
      <x:c r="A5" t="str">
        <x:v>Service</x:v>
      </x:c>
      <x:c r="B5" t="n">
        <x:v>4</x:v>
      </x:c>
      <x:c r="C5" t="n">
        <x:v>2.9</x:v>
      </x:c>
      <x:c r="D5" t="n">
        <x:v>-6</x:v>
      </x:c>
      <x:c r="E5" t="n">
        <x:v>70</x:v>
      </x:c>
      <x:c r="F5" t="n">
        <x:v>38.8</x:v>
      </x:c>
      <x:c r="G5" t="n">
        <x:v>195</x:v>
      </x:c>
      <x:c r="H5" t="n">
        <x:v>4</x:v>
      </x:c>
      <x:c r="J5" t="str">
        <x:v>Low satisfaction</x:v>
      </x:c>
      <x:c r="K5" t="n">
        <x:v>2</x:v>
      </x:c>
      <x:c r="L5" t="n">
        <x:v>67</x:v>
      </x:c>
      <x:c r="M5" t="n">
        <x:v>2.3</x:v>
      </x:c>
      <x:c r="N5" t="n">
        <x:v>2</x:v>
      </x:c>
    </x:row>
    <x:row r="6">
      <x:c r="A6" t="str">
        <x:v>Loyalty</x:v>
      </x:c>
      <x:c r="B6" t="n">
        <x:v>4</x:v>
      </x:c>
      <x:c r="C6" t="n">
        <x:v>4.1</x:v>
      </x:c>
      <x:c r="D6" t="n">
        <x:v>49</x:v>
      </x:c>
      <x:c r="E6" t="n">
        <x:v>19.5</x:v>
      </x:c>
      <x:c r="F6" t="n">
        <x:v>78.8</x:v>
      </x:c>
      <x:c r="G6" t="n">
        <x:v>117</x:v>
      </x:c>
      <x:c r="H6" t="n">
        <x:v>0</x:v>
      </x:c>
      <x:c r="J6" t="str">
        <x:v>Wait time</x:v>
      </x:c>
      <x:c r="K6" t="n">
        <x:v>1</x:v>
      </x:c>
      <x:c r="L6" t="n">
        <x:v>61</x:v>
      </x:c>
      <x:c r="M6" t="n">
        <x:v>3.2</x:v>
      </x:c>
      <x:c r="N6" t="n">
        <x:v>1</x:v>
      </x:c>
    </x:row>
    <x:row r="7">
      <x:c r="A7" t="str">
        <x:v>Digital</x:v>
      </x:c>
      <x:c r="B7" t="n">
        <x:v>4</x:v>
      </x:c>
      <x:c r="C7" t="n">
        <x:v>3.3</x:v>
      </x:c>
      <x:c r="D7" t="n">
        <x:v>11.3</x:v>
      </x:c>
      <x:c r="E7" t="n">
        <x:v>39.5</x:v>
      </x:c>
      <x:c r="F7" t="n">
        <x:v>54.8</x:v>
      </x:c>
      <x:c r="G7" t="n">
        <x:v>170</x:v>
      </x:c>
      <x:c r="H7" t="n">
        <x:v>1</x:v>
      </x:c>
      <x:c r="J7" t="str">
        <x:v>Drop-off</x:v>
      </x:c>
      <x:c r="K7" t="n">
        <x:v>1</x:v>
      </x:c>
      <x:c r="L7" t="n">
        <x:v>58</x:v>
      </x:c>
      <x:c r="M7" t="n">
        <x:v>3.4</x:v>
      </x:c>
      <x:c r="N7" t="n">
        <x:v>0</x:v>
      </x:c>
    </x:row>
    <x:row r="8">
      <x:c r="A8" t="str">
        <x:v>Premium Ownership</x:v>
      </x:c>
      <x:c r="B8" t="n">
        <x:v>4</x:v>
      </x:c>
      <x:c r="C8" t="n">
        <x:v>3.8</x:v>
      </x:c>
      <x:c r="D8" t="n">
        <x:v>34.5</x:v>
      </x:c>
      <x:c r="E8" t="n">
        <x:v>28.8</x:v>
      </x:c>
      <x:c r="F8" t="n">
        <x:v>70.5</x:v>
      </x:c>
      <x:c r="G8" t="n">
        <x:v>94</x:v>
      </x:c>
      <x:c r="H8" t="n">
        <x:v>0</x:v>
      </x:c>
      <x:c r="J8" t="str">
        <x:v>Booking friction</x:v>
      </x:c>
      <x:c r="K8" t="n">
        <x:v>1</x:v>
      </x:c>
      <x:c r="L8" t="n">
        <x:v>55</x:v>
      </x:c>
      <x:c r="M8" t="n">
        <x:v>2.9</x:v>
      </x:c>
      <x:c r="N8" t="n">
        <x:v>1</x:v>
      </x:c>
    </x:row>
    <x:row r="9">
      <x:c r="A9" t="str">
        <x:v>Brand Experience</x:v>
      </x:c>
      <x:c r="B9" t="n">
        <x:v>2</x:v>
      </x:c>
      <x:c r="C9" t="n">
        <x:v>3.8</x:v>
      </x:c>
      <x:c r="D9" t="n">
        <x:v>31.5</x:v>
      </x:c>
      <x:c r="E9" t="n">
        <x:v>22</x:v>
      </x:c>
      <x:c r="F9" t="n">
        <x:v>67.5</x:v>
      </x:c>
      <x:c r="G9" t="n">
        <x:v>53</x:v>
      </x:c>
      <x:c r="H9" t="n">
        <x:v>0</x:v>
      </x:c>
      <x:c r="J9" t="str">
        <x:v>Response time</x:v>
      </x:c>
      <x:c r="K9" t="n">
        <x:v>1</x:v>
      </x:c>
      <x:c r="L9" t="n">
        <x:v>52</x:v>
      </x:c>
      <x:c r="M9" t="n">
        <x:v>2.8</x:v>
      </x:c>
      <x:c r="N9" t="n">
        <x:v>1</x:v>
      </x:c>
    </x:row>
    <x:row r="10">
      <x:c r="A10" t="str">
        <x:v>Purchase Journey</x:v>
      </x:c>
      <x:c r="B10" t="n">
        <x:v>3</x:v>
      </x:c>
      <x:c r="C10" t="n">
        <x:v>2.8</x:v>
      </x:c>
      <x:c r="D10" t="n">
        <x:v>-13.3</x:v>
      </x:c>
      <x:c r="E10" t="n">
        <x:v>64</x:v>
      </x:c>
      <x:c r="F10" t="n">
        <x:v>38.3</x:v>
      </x:c>
      <x:c r="G10" t="n">
        <x:v>135</x:v>
      </x:c>
      <x:c r="H10" t="n">
        <x:v>3</x:v>
      </x:c>
      <x:c r="J10" t="str">
        <x:v>Availability</x:v>
      </x:c>
      <x:c r="K10" t="n">
        <x:v>2</x:v>
      </x:c>
      <x:c r="L10" t="n">
        <x:v>49</x:v>
      </x:c>
      <x:c r="M10" t="n">
        <x:v>3.8</x:v>
      </x:c>
      <x:c r="N10" t="n">
        <x:v>0</x:v>
      </x:c>
    </x:row>
    <x:row r="11">
      <x:c r="A11" t="str">
        <x:v>Retail</x:v>
      </x:c>
      <x:c r="B11" t="n">
        <x:v>1</x:v>
      </x:c>
      <x:c r="C11" t="n">
        <x:v>3.8</x:v>
      </x:c>
      <x:c r="D11" t="n">
        <x:v>33</x:v>
      </x:c>
      <x:c r="E11" t="n">
        <x:v>26</x:v>
      </x:c>
      <x:c r="F11" t="n">
        <x:v>67</x:v>
      </x:c>
      <x:c r="G11" t="n">
        <x:v>23</x:v>
      </x:c>
      <x:c r="H11" t="n">
        <x:v>0</x:v>
      </x:c>
      <x:c r="J11" t="str">
        <x:v>App usability</x:v>
      </x:c>
      <x:c r="K11" t="n">
        <x:v>1</x:v>
      </x:c>
      <x:c r="L11" t="n">
        <x:v>49</x:v>
      </x:c>
      <x:c r="M11" t="n">
        <x:v>3</x:v>
      </x:c>
      <x:c r="N11" t="n">
        <x:v>1</x:v>
      </x:c>
    </x:row>
    <x:row r="12">
      <x:c r="A12" t="str">
        <x:v>Retention</x:v>
      </x:c>
      <x:c r="B12" t="n">
        <x:v>2</x:v>
      </x:c>
      <x:c r="C12" t="n">
        <x:v>3.4</x:v>
      </x:c>
      <x:c r="D12" t="n">
        <x:v>13.5</x:v>
      </x:c>
      <x:c r="E12" t="n">
        <x:v>50</x:v>
      </x:c>
      <x:c r="F12" t="n">
        <x:v>54.5</x:v>
      </x:c>
      <x:c r="G12" t="n">
        <x:v>65</x:v>
      </x:c>
      <x:c r="H12" t="n">
        <x:v>1</x:v>
      </x:c>
      <x:c r="J12" t="str">
        <x:v>Lead handoff</x:v>
      </x:c>
      <x:c r="K12" t="n">
        <x:v>1</x:v>
      </x:c>
      <x:c r="L12" t="n">
        <x:v>47</x:v>
      </x:c>
      <x:c r="M12" t="n">
        <x:v>3.2</x:v>
      </x:c>
      <x:c r="N12" t="n">
        <x:v>1</x:v>
      </x:c>
    </x:row>
    <x:row r="13">
      <x:c r="J13" t="str">
        <x:v>Resolution time</x:v>
      </x:c>
      <x:c r="K13" t="n">
        <x:v>1</x:v>
      </x:c>
      <x:c r="L13" t="n">
        <x:v>46</x:v>
      </x:c>
      <x:c r="M13" t="n">
        <x:v>2.6</x:v>
      </x:c>
      <x:c r="N13" t="n">
        <x:v>1</x:v>
      </x:c>
    </x:row>
    <x:row r="14">
      <x:c r="J14" t="str">
        <x:v>Delivery explanation</x:v>
      </x:c>
      <x:c r="K14" t="n">
        <x:v>1</x:v>
      </x:c>
      <x:c r="L14" t="n">
        <x:v>42</x:v>
      </x:c>
      <x:c r="M14" t="n">
        <x:v>3.6</x:v>
      </x:c>
      <x:c r="N14" t="n">
        <x:v>0</x:v>
      </x:c>
    </x:row>
    <x:row r="15">
      <x:c r="J15" t="str">
        <x:v>Accessory availability</x:v>
      </x:c>
      <x:c r="K15" t="n">
        <x:v>1</x:v>
      </x:c>
      <x:c r="L15" t="n">
        <x:v>39</x:v>
      </x:c>
      <x:c r="M15" t="n">
        <x:v>4.2</x:v>
      </x:c>
      <x:c r="N15" t="n">
        <x:v>0</x:v>
      </x:c>
    </x:row>
    <x:row r="16">
      <x:c r="A16" s="4" t="str">
        <x:v>Customer Type</x:v>
      </x:c>
      <x:c r="B16" s="4" t="str">
        <x:v>Records</x:v>
      </x:c>
      <x:c r="C16" s="4" t="str">
        <x:v>Avg CSAT</x:v>
      </x:c>
      <x:c r="D16" s="4" t="str">
        <x:v>Avg NPS</x:v>
      </x:c>
      <x:c r="E16" s="4" t="str">
        <x:v>Avg Response Hrs</x:v>
      </x:c>
      <x:c r="F16" s="4" t="str">
        <x:v>Avg Repeat Intent</x:v>
      </x:c>
      <x:c r="G16" s="4" t="str">
        <x:v>Feedback Volume</x:v>
      </x:c>
      <x:c r="H16" s="4" t="str">
        <x:v>High-Risk Records</x:v>
      </x:c>
      <x:c r="J16" t="str">
        <x:v>Service needs</x:v>
      </x:c>
      <x:c r="K16" t="n">
        <x:v>1</x:v>
      </x:c>
      <x:c r="L16" t="n">
        <x:v>35</x:v>
      </x:c>
      <x:c r="M16" t="n">
        <x:v>4</x:v>
      </x:c>
      <x:c r="N16" t="n">
        <x:v>0</x:v>
      </x:c>
    </x:row>
    <x:row r="17">
      <x:c r="A17" t="str">
        <x:v>New owners</x:v>
      </x:c>
      <x:c r="B17" t="n">
        <x:v>2</x:v>
      </x:c>
      <x:c r="C17" t="n">
        <x:v>3.4</x:v>
      </x:c>
      <x:c r="D17" t="n">
        <x:v>13</x:v>
      </x:c>
      <x:c r="E17" t="n">
        <x:v>30</x:v>
      </x:c>
      <x:c r="F17" t="n">
        <x:v>57.5</x:v>
      </x:c>
      <x:c r="G17" t="n">
        <x:v>79</x:v>
      </x:c>
      <x:c r="H17" t="n">
        <x:v>1</x:v>
      </x:c>
      <x:c r="J17" t="str">
        <x:v>Price perception</x:v>
      </x:c>
      <x:c r="K17" t="n">
        <x:v>1</x:v>
      </x:c>
      <x:c r="L17" t="n">
        <x:v>33</x:v>
      </x:c>
      <x:c r="M17" t="n">
        <x:v>3</x:v>
      </x:c>
      <x:c r="N17" t="n">
        <x:v>1</x:v>
      </x:c>
    </x:row>
    <x:row r="18">
      <x:c r="A18" t="str">
        <x:v>At-risk customers</x:v>
      </x:c>
      <x:c r="B18" t="n">
        <x:v>3</x:v>
      </x:c>
      <x:c r="C18" t="n">
        <x:v>2.4</x:v>
      </x:c>
      <x:c r="D18" t="n">
        <x:v>-28.3</x:v>
      </x:c>
      <x:c r="E18" t="n">
        <x:v>78.7</x:v>
      </x:c>
      <x:c r="F18" t="n">
        <x:v>23.3</x:v>
      </x:c>
      <x:c r="G18" t="n">
        <x:v>113</x:v>
      </x:c>
      <x:c r="H18" t="n">
        <x:v>3</x:v>
      </x:c>
      <x:c r="J18" t="str">
        <x:v>Follow-up quality</x:v>
      </x:c>
      <x:c r="K18" t="n">
        <x:v>1</x:v>
      </x:c>
      <x:c r="L18" t="n">
        <x:v>32</x:v>
      </x:c>
      <x:c r="M18" t="n">
        <x:v>3.6</x:v>
      </x:c>
      <x:c r="N18" t="n">
        <x:v>0</x:v>
      </x:c>
    </x:row>
    <x:row r="19">
      <x:c r="A19" t="str">
        <x:v>New riders</x:v>
      </x:c>
      <x:c r="B19" t="n">
        <x:v>1</x:v>
      </x:c>
      <x:c r="C19" t="n">
        <x:v>3.8</x:v>
      </x:c>
      <x:c r="D19" t="n">
        <x:v>31</x:v>
      </x:c>
      <x:c r="E19" t="n">
        <x:v>24</x:v>
      </x:c>
      <x:c r="F19" t="n">
        <x:v>68</x:v>
      </x:c>
      <x:c r="G19" t="n">
        <x:v>28</x:v>
      </x:c>
      <x:c r="H19" t="n">
        <x:v>0</x:v>
      </x:c>
      <x:c r="J19" t="str">
        <x:v>Event follow-up</x:v>
      </x:c>
      <x:c r="K19" t="n">
        <x:v>1</x:v>
      </x:c>
      <x:c r="L19" t="n">
        <x:v>30</x:v>
      </x:c>
      <x:c r="M19" t="n">
        <x:v>4.1</x:v>
      </x:c>
      <x:c r="N19" t="n">
        <x:v>0</x:v>
      </x:c>
    </x:row>
    <x:row r="20">
      <x:c r="A20" t="str">
        <x:v>Service customers</x:v>
      </x:c>
      <x:c r="B20" t="n">
        <x:v>2</x:v>
      </x:c>
      <x:c r="C20" t="n">
        <x:v>3</x:v>
      </x:c>
      <x:c r="D20" t="n">
        <x:v>1</x:v>
      </x:c>
      <x:c r="E20" t="n">
        <x:v>56</x:v>
      </x:c>
      <x:c r="F20" t="n">
        <x:v>46</x:v>
      </x:c>
      <x:c r="G20" t="n">
        <x:v>116</x:v>
      </x:c>
      <x:c r="H20" t="n">
        <x:v>2</x:v>
      </x:c>
      <x:c r="J20" t="str">
        <x:v>Low engagement</x:v>
      </x:c>
      <x:c r="K20" t="n">
        <x:v>1</x:v>
      </x:c>
      <x:c r="L20" t="n">
        <x:v>30</x:v>
      </x:c>
      <x:c r="M20" t="n">
        <x:v>2.7</x:v>
      </x:c>
      <x:c r="N20" t="n">
        <x:v>1</x:v>
      </x:c>
    </x:row>
    <x:row r="21">
      <x:c r="A21" t="str">
        <x:v>Retention</x:v>
      </x:c>
      <x:c r="B21" t="n">
        <x:v>2</x:v>
      </x:c>
      <x:c r="C21" t="n">
        <x:v>2.9</x:v>
      </x:c>
      <x:c r="D21" t="n">
        <x:v>-11</x:v>
      </x:c>
      <x:c r="E21" t="n">
        <x:v>74</x:v>
      </x:c>
      <x:c r="F21" t="n">
        <x:v>33</x:v>
      </x:c>
      <x:c r="G21" t="n">
        <x:v>63</x:v>
      </x:c>
      <x:c r="H21" t="n">
        <x:v>2</x:v>
      </x:c>
      <x:c r="J21" t="str">
        <x:v>Financing questions</x:v>
      </x:c>
      <x:c r="K21" t="n">
        <x:v>1</x:v>
      </x:c>
      <x:c r="L21" t="n">
        <x:v>29</x:v>
      </x:c>
      <x:c r="M21" t="n">
        <x:v>3.5</x:v>
      </x:c>
      <x:c r="N21" t="n">
        <x:v>0</x:v>
      </x:c>
    </x:row>
    <x:row r="22">
      <x:c r="A22" t="str">
        <x:v>Community customers</x:v>
      </x:c>
      <x:c r="B22" t="n">
        <x:v>3</x:v>
      </x:c>
      <x:c r="C22" t="n">
        <x:v>4.1</x:v>
      </x:c>
      <x:c r="D22" t="n">
        <x:v>48</x:v>
      </x:c>
      <x:c r="E22" t="n">
        <x:v>20.7</x:v>
      </x:c>
      <x:c r="F22" t="n">
        <x:v>79.7</x:v>
      </x:c>
      <x:c r="G22" t="n">
        <x:v>104</x:v>
      </x:c>
      <x:c r="H22" t="n">
        <x:v>0</x:v>
      </x:c>
      <x:c r="J22" t="str">
        <x:v>Onboarding content</x:v>
      </x:c>
      <x:c r="K22" t="n">
        <x:v>1</x:v>
      </x:c>
      <x:c r="L22" t="n">
        <x:v>28</x:v>
      </x:c>
      <x:c r="M22" t="n">
        <x:v>3.8</x:v>
      </x:c>
      <x:c r="N22" t="n">
        <x:v>0</x:v>
      </x:c>
    </x:row>
    <x:row r="23">
      <x:c r="A23" t="str">
        <x:v>Premium owners</x:v>
      </x:c>
      <x:c r="B23" t="n">
        <x:v>5</x:v>
      </x:c>
      <x:c r="C23" t="n">
        <x:v>4</x:v>
      </x:c>
      <x:c r="D23" t="n">
        <x:v>40.2</x:v>
      </x:c>
      <x:c r="E23" t="n">
        <x:v>25</x:v>
      </x:c>
      <x:c r="F23" t="n">
        <x:v>74</x:v>
      </x:c>
      <x:c r="G23" t="n">
        <x:v>116</x:v>
      </x:c>
      <x:c r="H23" t="n">
        <x:v>0</x:v>
      </x:c>
      <x:c r="J23" t="str">
        <x:v>Expectation gap</x:v>
      </x:c>
      <x:c r="K23" t="n">
        <x:v>1</x:v>
      </x:c>
      <x:c r="L23" t="n">
        <x:v>27</x:v>
      </x:c>
      <x:c r="M23" t="n">
        <x:v>3.5</x:v>
      </x:c>
      <x:c r="N23" t="n">
        <x:v>0</x:v>
      </x:c>
    </x:row>
    <x:row r="24">
      <x:c r="A24" t="str">
        <x:v>Retail customers</x:v>
      </x:c>
      <x:c r="B24" t="n">
        <x:v>2</x:v>
      </x:c>
      <x:c r="C24" t="n">
        <x:v>3.8</x:v>
      </x:c>
      <x:c r="D24" t="n">
        <x:v>33.5</x:v>
      </x:c>
      <x:c r="E24" t="n">
        <x:v>28</x:v>
      </x:c>
      <x:c r="F24" t="n">
        <x:v>66.5</x:v>
      </x:c>
      <x:c r="G24" t="n">
        <x:v>49</x:v>
      </x:c>
      <x:c r="H24" t="n">
        <x:v>0</x:v>
      </x:c>
      <x:c r="J24" t="str">
        <x:v>Communication clarity</x:v>
      </x:c>
      <x:c r="K24" t="n">
        <x:v>1</x:v>
      </x:c>
      <x:c r="L24" t="n">
        <x:v>25</x:v>
      </x:c>
      <x:c r="M24" t="n">
        <x:v>3.4</x:v>
      </x:c>
      <x:c r="N24" t="n">
        <x:v>0</x:v>
      </x:c>
    </x:row>
    <x:row r="25">
      <x:c r="A25" t="str">
        <x:v>Digital prospects</x:v>
      </x:c>
      <x:c r="B25" t="n">
        <x:v>2</x:v>
      </x:c>
      <x:c r="C25" t="n">
        <x:v>3.3</x:v>
      </x:c>
      <x:c r="D25" t="n">
        <x:v>10.5</x:v>
      </x:c>
      <x:c r="E25" t="n">
        <x:v>43</x:v>
      </x:c>
      <x:c r="F25" t="n">
        <x:v>55.5</x:v>
      </x:c>
      <x:c r="G25" t="n">
        <x:v>105</x:v>
      </x:c>
      <x:c r="H25" t="n">
        <x:v>1</x:v>
      </x:c>
      <x:c r="J25" t="str">
        <x:v>Technical support</x:v>
      </x:c>
      <x:c r="K25" t="n">
        <x:v>1</x:v>
      </x:c>
      <x:c r="L25" t="n">
        <x:v>24</x:v>
      </x:c>
      <x:c r="M25" t="n">
        <x:v>4</x:v>
      </x:c>
      <x:c r="N25" t="n">
        <x:v>0</x:v>
      </x:c>
    </x:row>
    <x:row r="26">
      <x:c r="A26" t="str">
        <x:v>Digital users</x:v>
      </x:c>
      <x:c r="B26" t="n">
        <x:v>1</x:v>
      </x:c>
      <x:c r="C26" t="n">
        <x:v>3</x:v>
      </x:c>
      <x:c r="D26" t="n">
        <x:v>-2</x:v>
      </x:c>
      <x:c r="E26" t="n">
        <x:v>44</x:v>
      </x:c>
      <x:c r="F26" t="n">
        <x:v>46</x:v>
      </x:c>
      <x:c r="G26" t="n">
        <x:v>49</x:v>
      </x:c>
      <x:c r="H26" t="n">
        <x:v>1</x:v>
      </x:c>
      <x:c r="J26" t="str">
        <x:v>Exclusive services</x:v>
      </x:c>
      <x:c r="K26" t="n">
        <x:v>1</x:v>
      </x:c>
      <x:c r="L26" t="n">
        <x:v>22</x:v>
      </x:c>
      <x:c r="M26" t="n">
        <x:v>4.5</x:v>
      </x:c>
      <x:c r="N26" t="n">
        <x:v>0</x:v>
      </x:c>
    </x:row>
    <x:row r="27">
      <x:c r="A27" t="str">
        <x:v>Prospects</x:v>
      </x:c>
      <x:c r="B27" t="n">
        <x:v>3</x:v>
      </x:c>
      <x:c r="C27" t="n">
        <x:v>3.2</x:v>
      </x:c>
      <x:c r="D27" t="n">
        <x:v>9.7</x:v>
      </x:c>
      <x:c r="E27" t="n">
        <x:v>42</x:v>
      </x:c>
      <x:c r="F27" t="n">
        <x:v>53.7</x:v>
      </x:c>
      <x:c r="G27" t="n">
        <x:v>118</x:v>
      </x:c>
      <x:c r="H27" t="n">
        <x:v>1</x:v>
      </x:c>
      <x:c r="J27" t="str">
        <x:v>Language support</x:v>
      </x:c>
      <x:c r="K27" t="n">
        <x:v>1</x:v>
      </x:c>
      <x:c r="L27" t="n">
        <x:v>21</x:v>
      </x:c>
      <x:c r="M27" t="n">
        <x:v>3.9</x:v>
      </x:c>
      <x:c r="N27" t="n">
        <x:v>0</x:v>
      </x:c>
    </x:row>
    <x:row r="28">
      <x:c r="A28" t="str">
        <x:v>Retail prospects</x:v>
      </x:c>
      <x:c r="B28" t="n">
        <x:v>1</x:v>
      </x:c>
      <x:c r="C28" t="n">
        <x:v>3.5</x:v>
      </x:c>
      <x:c r="D28" t="n">
        <x:v>19</x:v>
      </x:c>
      <x:c r="E28" t="n">
        <x:v>38</x:v>
      </x:c>
      <x:c r="F28" t="n">
        <x:v>61</x:v>
      </x:c>
      <x:c r="G28" t="n">
        <x:v>29</x:v>
      </x:c>
      <x:c r="H28" t="n">
        <x:v>0</x:v>
      </x:c>
      <x:c r="J28" t="str">
        <x:v>Personalization</x:v>
      </x:c>
      <x:c r="K28" t="n">
        <x:v>1</x:v>
      </x:c>
      <x:c r="L28" t="n">
        <x:v>18</x:v>
      </x:c>
      <x:c r="M28" t="n">
        <x:v>4.4</x:v>
      </x:c>
      <x:c r="N28" t="n">
        <x:v>0</x:v>
      </x:c>
    </x:row>
    <x:row r="29">
      <x:c r="A29" t="str">
        <x:v>Visitors</x:v>
      </x:c>
      <x:c r="B29" t="n">
        <x:v>1</x:v>
      </x:c>
      <x:c r="C29" t="n">
        <x:v>3.9</x:v>
      </x:c>
      <x:c r="D29" t="n">
        <x:v>36</x:v>
      </x:c>
      <x:c r="E29" t="n">
        <x:v>16</x:v>
      </x:c>
      <x:c r="F29" t="n">
        <x:v>70</x:v>
      </x:c>
      <x:c r="G29" t="n">
        <x:v>21</x:v>
      </x:c>
      <x:c r="H2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7.5" hidden="0" customWidth="1"/>
    <x:col min="3" max="3" width="17.5" hidden="0" customWidth="1"/>
    <x:col min="4" max="4" width="19.520000457763672" hidden="0" customWidth="1"/>
    <x:col min="5" max="5" width="8.479999542236328" hidden="0" customWidth="1"/>
    <x:col min="6" max="6" width="8.479999542236328" hidden="0" customWidth="1"/>
    <x:col min="7" max="7" width="12.520000457763672" hidden="0" customWidth="1"/>
    <x:col min="8" max="8" width="14.130000114440918" hidden="0" customWidth="1"/>
    <x:col min="9" max="9" width="35.66999816894531" hidden="0" customWidth="1"/>
  </x:cols>
  <x:sheetData>
    <x:row r="1">
      <x:c r="A1" s="9" t="str">
        <x:v>At-Risk Customers / Segments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</x:row>
    <x:row r="3">
      <x:c r="A3" s="4" t="str">
        <x:v>Segment</x:v>
      </x:c>
      <x:c r="B3" s="4" t="str">
        <x:v>Customer Type</x:v>
      </x:c>
      <x:c r="C3" s="4" t="str">
        <x:v>Journey Stage</x:v>
      </x:c>
      <x:c r="D3" s="4" t="str">
        <x:v>Complaint Category</x:v>
      </x:c>
      <x:c r="E3" s="4" t="str">
        <x:v>CSAT</x:v>
      </x:c>
      <x:c r="F3" s="4" t="str">
        <x:v>NPS</x:v>
      </x:c>
      <x:c r="G3" s="4" t="str">
        <x:v>Response Hrs</x:v>
      </x:c>
      <x:c r="H3" s="4" t="str">
        <x:v>Repeat Intent %</x:v>
      </x:c>
      <x:c r="I3" s="4" t="str">
        <x:v>Recommended Action</x:v>
      </x:c>
    </x:row>
    <x:row r="4">
      <x:c r="A4" s="5" t="str">
        <x:v>Post-delivery detractors</x:v>
      </x:c>
      <x:c r="B4" s="5" t="str">
        <x:v>At-risk customers</x:v>
      </x:c>
      <x:c r="C4" s="5" t="str">
        <x:v>Purchase Journey</x:v>
      </x:c>
      <x:c r="D4" s="5" t="str">
        <x:v>Low satisfaction</x:v>
      </x:c>
      <x:c r="E4" s="5" t="n">
        <x:v>2.3</x:v>
      </x:c>
      <x:c r="F4" s="5" t="n">
        <x:v>-35</x:v>
      </x:c>
      <x:c r="G4" s="5" t="n">
        <x:v>84</x:v>
      </x:c>
      <x:c r="H4" s="5" t="n">
        <x:v>20</x:v>
      </x:c>
      <x:c r="I4" s="5" t="str">
        <x:v>Start detractor recovery workflow</x:v>
      </x:c>
    </x:row>
    <x:row r="5">
      <x:c r="A5" s="5" t="str">
        <x:v>Post-delivery detractors</x:v>
      </x:c>
      <x:c r="B5" s="5" t="str">
        <x:v>At-risk customers</x:v>
      </x:c>
      <x:c r="C5" s="5" t="str">
        <x:v>Owner Onboarding</x:v>
      </x:c>
      <x:c r="D5" s="5" t="str">
        <x:v>Low satisfaction</x:v>
      </x:c>
      <x:c r="E5" s="5" t="n">
        <x:v>2.4</x:v>
      </x:c>
      <x:c r="F5" s="5" t="n">
        <x:v>-28</x:v>
      </x:c>
      <x:c r="G5" s="5" t="n">
        <x:v>56</x:v>
      </x:c>
      <x:c r="H5" s="5" t="n">
        <x:v>22</x:v>
      </x:c>
      <x:c r="I5" s="5" t="str">
        <x:v>Assign recovery owner and callback SLA</x:v>
      </x:c>
    </x:row>
    <x:row r="6">
      <x:c r="A6" s="5" t="str">
        <x:v>Warranty claim journey</x:v>
      </x:c>
      <x:c r="B6" s="5" t="str">
        <x:v>At-risk customers</x:v>
      </x:c>
      <x:c r="C6" s="5" t="str">
        <x:v>Service</x:v>
      </x:c>
      <x:c r="D6" s="5" t="str">
        <x:v>Resolution time</x:v>
      </x:c>
      <x:c r="E6" s="5" t="n">
        <x:v>2.6</x:v>
      </x:c>
      <x:c r="F6" s="5" t="n">
        <x:v>-22</x:v>
      </x:c>
      <x:c r="G6" s="5" t="n">
        <x:v>96</x:v>
      </x:c>
      <x:c r="H6" s="5" t="n">
        <x:v>28</x:v>
      </x:c>
      <x:c r="I6" s="5" t="str">
        <x:v>Map warranty status and escalation owner</x:v>
      </x:c>
    </x:row>
    <x:row r="7">
      <x:c r="A7" s="5" t="str">
        <x:v>Lapsed service customers</x:v>
      </x:c>
      <x:c r="B7" s="5" t="str">
        <x:v>Retention</x:v>
      </x:c>
      <x:c r="C7" s="5" t="str">
        <x:v>Retention</x:v>
      </x:c>
      <x:c r="D7" s="5" t="str">
        <x:v>Low engagement</x:v>
      </x:c>
      <x:c r="E7" s="5" t="n">
        <x:v>2.7</x:v>
      </x:c>
      <x:c r="F7" s="5" t="n">
        <x:v>-18</x:v>
      </x:c>
      <x:c r="G7" s="5" t="n">
        <x:v>76</x:v>
      </x:c>
      <x:c r="H7" s="5" t="n">
        <x:v>31</x:v>
      </x:c>
      <x:c r="I7" s="5" t="str">
        <x:v>Create retention segment and reactivation test</x:v>
      </x:c>
    </x:row>
    <x:row r="8">
      <x:c r="A8" s="5" t="str">
        <x:v>Dealer follow-up experience</x:v>
      </x:c>
      <x:c r="B8" s="5" t="str">
        <x:v>Prospects</x:v>
      </x:c>
      <x:c r="C8" s="5" t="str">
        <x:v>Purchase Journey</x:v>
      </x:c>
      <x:c r="D8" s="5" t="str">
        <x:v>Response time</x:v>
      </x:c>
      <x:c r="E8" s="5" t="n">
        <x:v>2.8</x:v>
      </x:c>
      <x:c r="F8" s="5" t="n">
        <x:v>-10</x:v>
      </x:c>
      <x:c r="G8" s="5" t="n">
        <x:v>58</x:v>
      </x:c>
      <x:c r="H8" s="5" t="n">
        <x:v>41</x:v>
      </x:c>
      <x:c r="I8" s="5" t="str">
        <x:v>Assign dealer follow-up response target</x:v>
      </x:c>
    </x:row>
    <x:row r="9">
      <x:c r="A9" s="5" t="str">
        <x:v>Service appointment journey</x:v>
      </x:c>
      <x:c r="B9" s="5" t="str">
        <x:v>Service customers</x:v>
      </x:c>
      <x:c r="C9" s="5" t="str">
        <x:v>Service</x:v>
      </x:c>
      <x:c r="D9" s="5" t="str">
        <x:v>Booking friction</x:v>
      </x:c>
      <x:c r="E9" s="5" t="n">
        <x:v>2.9</x:v>
      </x:c>
      <x:c r="F9" s="5" t="n">
        <x:v>-6</x:v>
      </x:c>
      <x:c r="G9" s="5" t="n">
        <x:v>64</x:v>
      </x:c>
      <x:c r="H9" s="5" t="n">
        <x:v>43</x:v>
      </x:c>
      <x:c r="I9" s="5" t="str">
        <x:v>Review booking reminders and appointment slots</x:v>
      </x:c>
    </x:row>
    <x:row r="10">
      <x:c r="A10" s="5" t="str">
        <x:v>Lapsed service customers</x:v>
      </x:c>
      <x:c r="B10" s="5" t="str">
        <x:v>Retention</x:v>
      </x:c>
      <x:c r="C10" s="5" t="str">
        <x:v>Service</x:v>
      </x:c>
      <x:c r="D10" s="5" t="str">
        <x:v>Price perception</x:v>
      </x:c>
      <x:c r="E10" s="5" t="n">
        <x:v>3</x:v>
      </x:c>
      <x:c r="F10" s="5" t="n">
        <x:v>-4</x:v>
      </x:c>
      <x:c r="G10" s="5" t="n">
        <x:v>72</x:v>
      </x:c>
      <x:c r="H10" s="5" t="n">
        <x:v>35</x:v>
      </x:c>
      <x:c r="I10" s="5" t="str">
        <x:v>Profile service lapse reasons by segment</x:v>
      </x:c>
    </x:row>
    <x:row r="11">
      <x:c r="A11" s="5" t="str">
        <x:v>App and connected services users</x:v>
      </x:c>
      <x:c r="B11" s="5" t="str">
        <x:v>Digital users</x:v>
      </x:c>
      <x:c r="C11" s="5" t="str">
        <x:v>Digital</x:v>
      </x:c>
      <x:c r="D11" s="5" t="str">
        <x:v>App usability</x:v>
      </x:c>
      <x:c r="E11" s="5" t="n">
        <x:v>3</x:v>
      </x:c>
      <x:c r="F11" s="5" t="n">
        <x:v>-2</x:v>
      </x:c>
      <x:c r="G11" s="5" t="n">
        <x:v>44</x:v>
      </x:c>
      <x:c r="H11" s="5" t="n">
        <x:v>46</x:v>
      </x:c>
      <x:c r="I11" s="5" t="str">
        <x:v>Tag app feedback by feature and severity</x:v>
      </x:c>
    </x:row>
    <x:row r="12">
      <x:c r="A12" s="5" t="str">
        <x:v>New owner onboarding</x:v>
      </x:c>
      <x:c r="B12" s="5" t="str">
        <x:v>New owners</x:v>
      </x:c>
      <x:c r="C12" s="5" t="str">
        <x:v>Owner Onboarding</x:v>
      </x:c>
      <x:c r="D12" s="5" t="str">
        <x:v>Delayed follow-up</x:v>
      </x:c>
      <x:c r="E12" s="5" t="n">
        <x:v>3.1</x:v>
      </x:c>
      <x:c r="F12" s="5" t="n">
        <x:v>4</x:v>
      </x:c>
      <x:c r="G12" s="5" t="n">
        <x:v>42</x:v>
      </x:c>
      <x:c r="H12" s="5" t="n">
        <x:v>51</x:v>
      </x:c>
      <x:c r="I12" s="5" t="str">
        <x:v>Create first 30-day follow-up trigger</x:v>
      </x:c>
    </x:row>
    <x:row r="13">
      <x:c r="A13" s="5" t="str">
        <x:v>Digital configurator leads</x:v>
      </x:c>
      <x:c r="B13" s="5" t="str">
        <x:v>Digital prospects</x:v>
      </x:c>
      <x:c r="C13" s="5" t="str">
        <x:v>Purchase Journey</x:v>
      </x:c>
      <x:c r="D13" s="5" t="str">
        <x:v>Lead handoff</x:v>
      </x:c>
      <x:c r="E13" s="5" t="n">
        <x:v>3.2</x:v>
      </x:c>
      <x:c r="F13" s="5" t="n">
        <x:v>5</x:v>
      </x:c>
      <x:c r="G13" s="5" t="n">
        <x:v>50</x:v>
      </x:c>
      <x:c r="H13" s="5" t="n">
        <x:v>54</x:v>
      </x:c>
      <x:c r="I13" s="5" t="str">
        <x:v>Map configurator lead handoff fields</x:v>
      </x:c>
    </x:row>
    <x:row r="14">
      <x:c r="A14" s="5" t="str">
        <x:v>Service appointment journey</x:v>
      </x:c>
      <x:c r="B14" s="5" t="str">
        <x:v>Service customers</x:v>
      </x:c>
      <x:c r="C14" s="5" t="str">
        <x:v>Service</x:v>
      </x:c>
      <x:c r="D14" s="5" t="str">
        <x:v>Wait time</x:v>
      </x:c>
      <x:c r="E14" s="5" t="n">
        <x:v>3.2</x:v>
      </x:c>
      <x:c r="F14" s="5" t="n">
        <x:v>8</x:v>
      </x:c>
      <x:c r="G14" s="5" t="n">
        <x:v>48</x:v>
      </x:c>
      <x:c r="H14" s="5" t="n">
        <x:v>49</x:v>
      </x:c>
      <x:c r="I14" s="5" t="str">
        <x:v>Add post-service explanation template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37.0099983215332" hidden="0" customWidth="1"/>
    <x:col min="3" max="3" width="34.31999969482422" hidden="0" customWidth="1"/>
    <x:col min="4" max="4" width="23.549999237060547" hidden="0" customWidth="1"/>
    <x:col min="5" max="5" width="28.940000534057617" hidden="0" customWidth="1"/>
  </x:cols>
  <x:sheetData>
    <x:row r="1">
      <x:c r="A1" s="9" t="str">
        <x:v>Recommendations</x:v>
      </x:c>
      <x:c r="B1" s="9" t="str"/>
      <x:c r="C1" s="9" t="str"/>
      <x:c r="D1" s="9" t="str"/>
      <x:c r="E1" s="9" t="str"/>
    </x:row>
    <x:row r="3">
      <x:c r="A3" s="4" t="str">
        <x:v>Theme</x:v>
      </x:c>
      <x:c r="B3" s="4" t="str">
        <x:v>Signal</x:v>
      </x:c>
      <x:c r="C3" s="4" t="str">
        <x:v>Recommended Action</x:v>
      </x:c>
      <x:c r="D3" s="4" t="str">
        <x:v>Owner</x:v>
      </x:c>
      <x:c r="E3" s="4" t="str">
        <x:v>Follow-up Metric</x:v>
      </x:c>
    </x:row>
    <x:row r="4">
      <x:c r="A4" s="5" t="str">
        <x:v>Owner onboarding</x:v>
      </x:c>
      <x:c r="B4" s="5" t="str">
        <x:v>Post-delivery detractors and new-owner follow-up show low CSAT and delayed response.</x:v>
      </x:c>
      <x:c r="C4" s="5" t="str">
        <x:v>Create first 30-day owner view and recovery callback SLA.</x:v>
      </x:c>
      <x:c r="D4" s="5" t="str">
        <x:v>CX + CRM + dealer operations</x:v>
      </x:c>
      <x:c r="E4" s="5" t="str">
        <x:v>CSAT, NPS, callback completion, repeat purchase intent</x:v>
      </x:c>
    </x:row>
    <x:row r="5">
      <x:c r="A5" s="5" t="str">
        <x:v>Service</x:v>
      </x:c>
      <x:c r="B5" s="5" t="str">
        <x:v>Warranty and appointment journeys combine low satisfaction, long response time and high feedback volume.</x:v>
      </x:c>
      <x:c r="C5" s="5" t="str">
        <x:v>Map warranty status, booking reminders and post-service explanation fields.</x:v>
      </x:c>
      <x:c r="D5" s="5" t="str">
        <x:v>After-sales + dealer operations</x:v>
      </x:c>
      <x:c r="E5" s="5" t="str">
        <x:v>Resolution time, CSAT, complaint recurrence</x:v>
      </x:c>
    </x:row>
    <x:row r="6">
      <x:c r="A6" s="5" t="str">
        <x:v>Digital</x:v>
      </x:c>
      <x:c r="B6" s="5" t="str">
        <x:v>Configurator and app signals are useful but mixed across intent, support and satisfaction.</x:v>
      </x:c>
      <x:c r="C6" s="5" t="str">
        <x:v>Separate lead behavior, support tickets and feature feedback before trend reporting.</x:v>
      </x:c>
      <x:c r="D6" s="5" t="str">
        <x:v>Digital product + CRM + CX</x:v>
      </x:c>
      <x:c r="E6" s="5" t="str">
        <x:v>Drop-off, support tickets, NPS, follow-up time</x:v>
      </x:c>
    </x:row>
    <x:row r="7">
      <x:c r="A7" s="5" t="str">
        <x:v>Retention</x:v>
      </x:c>
      <x:c r="B7" s="5" t="str">
        <x:v>Lapsed service customers show weak repeat intent and low engagement.</x:v>
      </x:c>
      <x:c r="C7" s="5" t="str">
        <x:v>Build a retention segment with service-lapse reasons and reactivation test actions.</x:v>
      </x:c>
      <x:c r="D7" s="5" t="str">
        <x:v>After-sales + CRM</x:v>
      </x:c>
      <x:c r="E7" s="5" t="str">
        <x:v>Repeat service rate, response rate, repeat purchase intent</x:v>
      </x:c>
    </x:row>
    <x:row r="8">
      <x:c r="A8" s="5" t="str">
        <x:v>Premium ownership</x:v>
      </x:c>
      <x:c r="B8" s="5" t="str">
        <x:v>Premium owners are high value but sensitive to expectation gaps and technical support clarity.</x:v>
      </x:c>
      <x:c r="C8" s="5" t="str">
        <x:v>Route technical questions to expert owners and monitor premium-service communication.</x:v>
      </x:c>
      <x:c r="D8" s="5" t="str">
        <x:v>Product + service + dealer network</x:v>
      </x:c>
      <x:c r="E8" s="5" t="str">
        <x:v>CSAT, response time, issue resolution, event satisfaction</x:v>
      </x:c>
    </x:row>
  </x:sheetData>
  <x:pageMargins left="0.7" right="0.7" top="0.75" bottom="0.75" header="0.3" footer="0.3"/>
</x:worksheet>
</file>